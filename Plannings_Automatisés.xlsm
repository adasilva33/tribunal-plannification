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2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asilvaa/Documents/coding/tribunal_plannification/"/>
    </mc:Choice>
  </mc:AlternateContent>
  <xr:revisionPtr revIDLastSave="0" documentId="8_{F5FB280A-B467-D941-BA4E-A1561C49314D}" xr6:coauthVersionLast="47" xr6:coauthVersionMax="47" xr10:uidLastSave="{00000000-0000-0000-0000-000000000000}"/>
  <bookViews>
    <workbookView xWindow="0" yWindow="660" windowWidth="30240" windowHeight="17300" xr2:uid="{2AEB9A19-6AE5-4CDB-8B97-917A7BDA6D28}"/>
  </bookViews>
  <sheets>
    <sheet name="Dynamic calendar" sheetId="10" r:id="rId1"/>
    <sheet name="MEP Calendrier" sheetId="8" r:id="rId2"/>
    <sheet name="Data chambre" sheetId="7" r:id="rId3"/>
    <sheet name="Dates" sheetId="9" r:id="rId4"/>
  </sheets>
  <definedNames>
    <definedName name="_xlnm._FilterDatabase" localSheetId="0" hidden="1">'Dynamic calendar'!$A$2:$AB$112</definedName>
    <definedName name="_xlnm._FilterDatabase" localSheetId="1" hidden="1">'MEP Calendrier'!$B$10:$N$408</definedName>
    <definedName name="_xleta.AND" hidden="1" xlm="1">#NAME?</definedName>
    <definedName name="_xleta.CHOOSE" hidden="1" xlm="1">#NAME?</definedName>
    <definedName name="_xleta.FILTER" hidden="1" xlm="1">#NAME?</definedName>
    <definedName name="_xleta.IF" hidden="1" xlm="1">#NAME?</definedName>
    <definedName name="_xleta.WEEKDAY" hidden="1" xlm="1">#NAME?</definedName>
    <definedName name="_xleta.YEAR" hidden="1" xlm="1">#NAME?</definedName>
    <definedName name="_xlpm.a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h" hidden="1" xlm="1">#NAME?</definedName>
    <definedName name="_xlpm.k" hidden="1" xlm="1">#NAME?</definedName>
    <definedName name="_xlpm.x" hidden="1" xlm="1">#NAME?</definedName>
    <definedName name="day_chambers">'Data chambre'!$B$33:$O$37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8" l="1"/>
  <c r="D7" i="10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7" i="9"/>
  <c r="H3" i="9"/>
  <c r="X10" i="8"/>
  <c r="L32" i="7"/>
  <c r="M32" i="7"/>
  <c r="N32" i="7"/>
  <c r="O32" i="7"/>
  <c r="L33" i="7"/>
  <c r="M33" i="7"/>
  <c r="N33" i="7"/>
  <c r="O33" i="7"/>
  <c r="L34" i="7"/>
  <c r="M34" i="7"/>
  <c r="N34" i="7"/>
  <c r="O34" i="7"/>
  <c r="L35" i="7"/>
  <c r="M35" i="7"/>
  <c r="N35" i="7"/>
  <c r="O35" i="7"/>
  <c r="L36" i="7"/>
  <c r="M36" i="7"/>
  <c r="N36" i="7"/>
  <c r="O36" i="7"/>
  <c r="L37" i="7"/>
  <c r="M37" i="7"/>
  <c r="N37" i="7"/>
  <c r="O37" i="7"/>
  <c r="C33" i="7"/>
  <c r="D33" i="7"/>
  <c r="E33" i="7"/>
  <c r="F33" i="7"/>
  <c r="G33" i="7"/>
  <c r="H33" i="7"/>
  <c r="I33" i="7"/>
  <c r="J33" i="7"/>
  <c r="K33" i="7"/>
  <c r="C34" i="7"/>
  <c r="D34" i="7"/>
  <c r="E34" i="7"/>
  <c r="F34" i="7"/>
  <c r="G34" i="7"/>
  <c r="H34" i="7"/>
  <c r="I34" i="7"/>
  <c r="J34" i="7"/>
  <c r="K34" i="7"/>
  <c r="C35" i="7"/>
  <c r="D35" i="7"/>
  <c r="E35" i="7"/>
  <c r="F35" i="7"/>
  <c r="G35" i="7"/>
  <c r="H35" i="7"/>
  <c r="I35" i="7"/>
  <c r="J35" i="7"/>
  <c r="K35" i="7"/>
  <c r="C36" i="7"/>
  <c r="D36" i="7"/>
  <c r="E36" i="7"/>
  <c r="F36" i="7"/>
  <c r="G36" i="7"/>
  <c r="H36" i="7"/>
  <c r="I36" i="7"/>
  <c r="J36" i="7"/>
  <c r="K36" i="7"/>
  <c r="C37" i="7"/>
  <c r="D37" i="7"/>
  <c r="E37" i="7"/>
  <c r="F37" i="7"/>
  <c r="G37" i="7"/>
  <c r="H37" i="7"/>
  <c r="I37" i="7"/>
  <c r="J37" i="7"/>
  <c r="K37" i="7"/>
  <c r="B33" i="7"/>
  <c r="B34" i="7"/>
  <c r="B35" i="7"/>
  <c r="B36" i="7"/>
  <c r="B37" i="7"/>
  <c r="U2" i="8"/>
  <c r="U3" i="8"/>
  <c r="T3" i="8"/>
  <c r="T2" i="8"/>
  <c r="M2" i="8"/>
  <c r="C32" i="7"/>
  <c r="D32" i="7"/>
  <c r="E32" i="7"/>
  <c r="F32" i="7"/>
  <c r="G32" i="7"/>
  <c r="H32" i="7"/>
  <c r="I32" i="7"/>
  <c r="J32" i="7"/>
  <c r="K32" i="7"/>
  <c r="B32" i="7"/>
  <c r="C7" i="8" l="1"/>
  <c r="H2" i="8" s="1" a="1"/>
  <c r="H2" i="8" s="1"/>
  <c r="W11" i="8" a="1"/>
  <c r="W11" i="8" s="1"/>
  <c r="Z11" i="8" a="1"/>
  <c r="Z11" i="8" s="1"/>
  <c r="Y11" i="8" a="1"/>
  <c r="Y11" i="8" s="1"/>
  <c r="X11" i="8" a="1"/>
  <c r="X11" i="8" s="1"/>
  <c r="L3" i="9"/>
  <c r="AB11" i="8" s="1" a="1"/>
  <c r="AB11" i="8" s="1"/>
  <c r="C8" i="8" l="1" a="1"/>
  <c r="C8" i="8" s="1"/>
  <c r="F8" i="10" a="1"/>
  <c r="F8" i="10" s="1"/>
  <c r="E2" i="10" a="1"/>
  <c r="E2" i="10" s="1"/>
  <c r="AC11" i="8" a="1"/>
  <c r="AC11" i="8" s="1"/>
  <c r="Z10" i="8"/>
  <c r="Y10" i="8"/>
  <c r="AC10" i="8"/>
  <c r="AB10" i="8"/>
  <c r="AB9" i="8"/>
  <c r="G3" i="10" l="1" a="1"/>
  <c r="G3" i="10" s="1"/>
  <c r="G4" i="10" l="1"/>
  <c r="S4" i="8"/>
  <c r="C3" i="8"/>
  <c r="B3" i="8"/>
  <c r="S3" i="8" s="1"/>
  <c r="C2" i="8"/>
  <c r="C4" i="8" s="1"/>
  <c r="B2" i="8"/>
  <c r="S2" i="8" l="1"/>
  <c r="Q36" i="8"/>
  <c r="R36" i="8" s="1"/>
  <c r="Q23" i="8"/>
  <c r="R23" i="8" s="1"/>
  <c r="Q12" i="8"/>
  <c r="R12" i="8" s="1"/>
  <c r="Q22" i="8"/>
  <c r="R22" i="8" s="1"/>
  <c r="Q34" i="8"/>
  <c r="R34" i="8" s="1"/>
  <c r="Q21" i="8"/>
  <c r="R21" i="8" s="1"/>
  <c r="Q27" i="8"/>
  <c r="R27" i="8" s="1"/>
  <c r="Q25" i="8"/>
  <c r="R25" i="8" s="1"/>
  <c r="Q24" i="8"/>
  <c r="R24" i="8" s="1"/>
  <c r="Q11" i="8"/>
  <c r="R11" i="8" s="1"/>
  <c r="Q35" i="8"/>
  <c r="R35" i="8" s="1"/>
  <c r="Q33" i="8"/>
  <c r="R33" i="8" s="1"/>
  <c r="Q20" i="8"/>
  <c r="R20" i="8" s="1"/>
  <c r="Q32" i="8"/>
  <c r="R32" i="8" s="1"/>
  <c r="Q19" i="8"/>
  <c r="R19" i="8" s="1"/>
  <c r="Q28" i="8"/>
  <c r="R28" i="8" s="1"/>
  <c r="Q15" i="8"/>
  <c r="R15" i="8" s="1"/>
  <c r="Q14" i="8"/>
  <c r="R14" i="8" s="1"/>
  <c r="C5" i="8"/>
  <c r="F5" i="8" s="1"/>
  <c r="T4" i="8"/>
  <c r="U11" i="8" s="1" a="1"/>
  <c r="U11" i="8" s="1"/>
  <c r="U4" i="8"/>
  <c r="T11" i="8" s="1" a="1"/>
  <c r="T11" i="8" s="1"/>
  <c r="B11" i="8" l="1" a="1"/>
  <c r="B11" i="8" s="1"/>
  <c r="Q13" i="8"/>
  <c r="R13" i="8" s="1"/>
  <c r="Q18" i="8"/>
  <c r="R18" i="8" s="1"/>
  <c r="Q17" i="8"/>
  <c r="R17" i="8" s="1"/>
  <c r="Q16" i="8"/>
  <c r="R16" i="8" s="1"/>
  <c r="Q26" i="8"/>
  <c r="R26" i="8" s="1"/>
  <c r="Q29" i="8"/>
  <c r="R29" i="8" s="1"/>
  <c r="Q30" i="8"/>
  <c r="R30" i="8" s="1"/>
  <c r="Q31" i="8"/>
  <c r="R31" i="8" s="1"/>
  <c r="M11" i="8" l="1" a="1"/>
  <c r="M11" i="8" s="1"/>
  <c r="I11" i="8" a="1"/>
  <c r="I11" i="8" s="1"/>
  <c r="G11" i="8" a="1"/>
  <c r="G11" i="8" s="1"/>
  <c r="J11" i="8" a="1"/>
  <c r="J11" i="8" s="1"/>
  <c r="H11" i="8" a="1"/>
  <c r="H11" i="8" s="1"/>
  <c r="F11" i="8" a="1"/>
  <c r="F11" i="8" s="1"/>
  <c r="D11" i="8" a="1"/>
  <c r="D11" i="8" s="1"/>
  <c r="N11" i="8" s="1" a="1"/>
  <c r="N11" i="8" s="1"/>
  <c r="A9" i="10" l="1" a="1"/>
  <c r="A9" i="10" s="1"/>
  <c r="K11" i="8" a="1"/>
  <c r="K11" i="8" s="1"/>
  <c r="L11" i="8" s="1" a="1"/>
  <c r="L11" i="8" s="1"/>
  <c r="C11" i="8" s="1" a="1"/>
  <c r="C11" i="8" s="1"/>
  <c r="E11" i="8" a="1"/>
  <c r="E11" i="8" s="1"/>
  <c r="C9" i="10" l="1" a="1"/>
  <c r="C9" i="10" s="1"/>
  <c r="F9" i="10" s="1" a="1"/>
  <c r="F9" i="10" s="1"/>
  <c r="E9" i="10" a="1"/>
  <c r="E9" i="10" s="1"/>
  <c r="D9" i="10" a="1"/>
  <c r="D9" i="1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<sst xmlns="http://schemas.openxmlformats.org/spreadsheetml/2006/main" count="303" uniqueCount="174">
  <si>
    <t>Année :</t>
  </si>
  <si>
    <t>Jour de l’An</t>
  </si>
  <si>
    <t>Pâques</t>
  </si>
  <si>
    <t>Lundi Pâques</t>
  </si>
  <si>
    <t>Fête du travail</t>
  </si>
  <si>
    <t>Victoire 1945</t>
  </si>
  <si>
    <t>Début</t>
  </si>
  <si>
    <t>Fin</t>
  </si>
  <si>
    <t>Date</t>
  </si>
  <si>
    <t>Status</t>
  </si>
  <si>
    <t>Nombre jours :</t>
  </si>
  <si>
    <t>Jours fériés</t>
  </si>
  <si>
    <t>Tous les jours</t>
  </si>
  <si>
    <t>Jour</t>
  </si>
  <si>
    <t>Fête</t>
  </si>
  <si>
    <t>Vacations judiciaires</t>
  </si>
  <si>
    <t>Été</t>
  </si>
  <si>
    <t>Hiver</t>
  </si>
  <si>
    <t>Vacations judiciaires (dates incluses)</t>
  </si>
  <si>
    <t>14h00</t>
  </si>
  <si>
    <t>8h30</t>
  </si>
  <si>
    <t>13h30</t>
  </si>
  <si>
    <t>9h00</t>
  </si>
  <si>
    <t>7ème chambre - CPC</t>
  </si>
  <si>
    <t>8ème chambre - CPC</t>
  </si>
  <si>
    <t>9ème chambre - CPC et sanctions</t>
  </si>
  <si>
    <t>Orientation</t>
  </si>
  <si>
    <t>T. MARMILLON</t>
  </si>
  <si>
    <t xml:space="preserve">JP. LEYRAUD            </t>
  </si>
  <si>
    <t>P. SPICA</t>
  </si>
  <si>
    <t xml:space="preserve">R. DUPLESSY         </t>
  </si>
  <si>
    <t>P. BOCCARDI</t>
  </si>
  <si>
    <t>F. TOUSSAINT</t>
  </si>
  <si>
    <t>P.J. ANCETTE</t>
  </si>
  <si>
    <t>S. LEGROS</t>
  </si>
  <si>
    <t>D. MAURIN</t>
  </si>
  <si>
    <t>M. SCHMIDT</t>
  </si>
  <si>
    <t>C. CHARBONNIER</t>
  </si>
  <si>
    <t>M. ROUX</t>
  </si>
  <si>
    <t>P. ZEN</t>
  </si>
  <si>
    <t>P. REYNAUD</t>
  </si>
  <si>
    <t>T. REGOND</t>
  </si>
  <si>
    <t>I. CRIBIER</t>
  </si>
  <si>
    <t>S. STREMSDOERFER</t>
  </si>
  <si>
    <t>H. CARDON</t>
  </si>
  <si>
    <t>J. SALORD</t>
  </si>
  <si>
    <t>J. FAYARD</t>
  </si>
  <si>
    <t>M. CARTE</t>
  </si>
  <si>
    <t>Y. PARIS</t>
  </si>
  <si>
    <t>L. CAIMANT</t>
  </si>
  <si>
    <t>JY. BON</t>
  </si>
  <si>
    <t>JP. LEYRAUD</t>
  </si>
  <si>
    <t>H. OUMEDIAN</t>
  </si>
  <si>
    <t>P. BLANDIN</t>
  </si>
  <si>
    <t>D. SUC</t>
  </si>
  <si>
    <t>E. BALDACCHINO</t>
  </si>
  <si>
    <t>P. GALONNIER</t>
  </si>
  <si>
    <t>P. PROST</t>
  </si>
  <si>
    <t>M. LOURDEAUX</t>
  </si>
  <si>
    <t>J. BANOS</t>
  </si>
  <si>
    <t>Y. AYOUBI</t>
  </si>
  <si>
    <t>R. DUPLESSY</t>
  </si>
  <si>
    <t>M. SAGNIMORTE</t>
  </si>
  <si>
    <t>P. PEREZ</t>
  </si>
  <si>
    <t>J. SOLEYMIEUX</t>
  </si>
  <si>
    <t>L. URREA</t>
  </si>
  <si>
    <t>S. LECANTE</t>
  </si>
  <si>
    <t>Y. MOLINA</t>
  </si>
  <si>
    <t>D. MARTINET</t>
  </si>
  <si>
    <t>G. JOLY</t>
  </si>
  <si>
    <t>P. FAVRE</t>
  </si>
  <si>
    <t>JB. DUCATEZ</t>
  </si>
  <si>
    <t>C. MISSIRIAN</t>
  </si>
  <si>
    <t>PH. PACAUD</t>
  </si>
  <si>
    <t>V. FRADIN</t>
  </si>
  <si>
    <t>F. BALDINI</t>
  </si>
  <si>
    <t>P. DURET</t>
  </si>
  <si>
    <t>A. TAKAHASHI</t>
  </si>
  <si>
    <t>S. MEZIN</t>
  </si>
  <si>
    <t>Jours</t>
  </si>
  <si>
    <t>Chambre</t>
  </si>
  <si>
    <t>Président chambre</t>
  </si>
  <si>
    <t>Assesseurs</t>
  </si>
  <si>
    <t>Heure début</t>
  </si>
  <si>
    <t>Ascension</t>
  </si>
  <si>
    <t>Pentecôte</t>
  </si>
  <si>
    <t>Lundi de Pentecôte</t>
  </si>
  <si>
    <t>Fête Nationale</t>
  </si>
  <si>
    <t>Assomption</t>
  </si>
  <si>
    <t>Toussaint</t>
  </si>
  <si>
    <t xml:space="preserve">Armistice 1918  </t>
  </si>
  <si>
    <t>Noel</t>
  </si>
  <si>
    <t>Spécificité</t>
  </si>
  <si>
    <t>Dates spéciales</t>
  </si>
  <si>
    <t>Jours sans audience</t>
  </si>
  <si>
    <t>Chambre :</t>
  </si>
  <si>
    <t>MOIS</t>
  </si>
  <si>
    <t>DATE</t>
  </si>
  <si>
    <t>Full date</t>
  </si>
  <si>
    <t>Jour(s) :</t>
  </si>
  <si>
    <t>Descriptif</t>
  </si>
  <si>
    <t>Raison</t>
  </si>
  <si>
    <t xml:space="preserve">Nombre : </t>
  </si>
  <si>
    <t>LIMIT</t>
  </si>
  <si>
    <t>Jours - nombre</t>
  </si>
  <si>
    <t>Jour semaine</t>
  </si>
  <si>
    <t>Vacation été</t>
  </si>
  <si>
    <t>Vacation hiver</t>
  </si>
  <si>
    <t>Jour férié</t>
  </si>
  <si>
    <t>Date spéciale</t>
  </si>
  <si>
    <t>Considered date</t>
  </si>
  <si>
    <t>Indice dernière ligne :</t>
  </si>
  <si>
    <t>Consideration jour de chambre</t>
  </si>
  <si>
    <t>Nombre assesseur</t>
  </si>
  <si>
    <t xml:space="preserve">Nombre assesseur: </t>
  </si>
  <si>
    <t>Associated days of the week :</t>
  </si>
  <si>
    <t>Chambre_1</t>
  </si>
  <si>
    <t>Chambre_2</t>
  </si>
  <si>
    <t>Chambre_3</t>
  </si>
  <si>
    <t>Chambre_4</t>
  </si>
  <si>
    <t>Chambre_6</t>
  </si>
  <si>
    <t>Chambre_7</t>
  </si>
  <si>
    <t>Chambre_8</t>
  </si>
  <si>
    <t>Chambre_9</t>
  </si>
  <si>
    <t>Nom fichier:</t>
  </si>
  <si>
    <t>Nombre chambre</t>
  </si>
  <si>
    <t>Mardi</t>
  </si>
  <si>
    <t>Mercredi</t>
  </si>
  <si>
    <t>Jeudi</t>
  </si>
  <si>
    <t>Lundi</t>
  </si>
  <si>
    <t>Vendredi</t>
  </si>
  <si>
    <t>Dates spéciales par chambre</t>
  </si>
  <si>
    <t>Date_Key</t>
  </si>
  <si>
    <t>Key</t>
  </si>
  <si>
    <t>Nom feuille</t>
  </si>
  <si>
    <t>Juges commissaires</t>
  </si>
  <si>
    <t>G. BRUN D'ARRE</t>
  </si>
  <si>
    <t>F. PECH</t>
  </si>
  <si>
    <t>G. LECAILLON-NEGRIN</t>
  </si>
  <si>
    <t>L. LOUGERSTAY</t>
  </si>
  <si>
    <t>JA. GRANGE</t>
  </si>
  <si>
    <t>JF. ROCHER</t>
  </si>
  <si>
    <t>D. CONTENT-HOBLINGRE</t>
  </si>
  <si>
    <t>F. FAYARD</t>
  </si>
  <si>
    <t>M. BOUILHOL</t>
  </si>
  <si>
    <t>L. DUPORT</t>
  </si>
  <si>
    <t>H. PARISI</t>
  </si>
  <si>
    <t>F. HAHNLEN</t>
  </si>
  <si>
    <t>M. DE ROQUEFEUIL</t>
  </si>
  <si>
    <t>J. DELILLE</t>
  </si>
  <si>
    <t>JF. RAMAY</t>
  </si>
  <si>
    <t>Prévention-détection</t>
  </si>
  <si>
    <t>JP. GIBERT</t>
  </si>
  <si>
    <t>PJ. ANCETTE</t>
  </si>
  <si>
    <t>H. OUMÉDIAN</t>
  </si>
  <si>
    <t>O. PICARD</t>
  </si>
  <si>
    <t>1ère chambre - CTX GAL</t>
  </si>
  <si>
    <t>2ème chambre - CTX GAL</t>
  </si>
  <si>
    <t>3ème chambre - CTX GAL</t>
  </si>
  <si>
    <t>4ème chambre - CTX GAL</t>
  </si>
  <si>
    <t>5ème chambre - REFERES</t>
  </si>
  <si>
    <t>JUGES COMMISSAIRES</t>
  </si>
  <si>
    <t>PREVENTION-DETECTION</t>
  </si>
  <si>
    <t>ORIENTATION</t>
  </si>
  <si>
    <t>ANNEE JUDICIAIRE</t>
  </si>
  <si>
    <t>Pas audience</t>
  </si>
  <si>
    <t>Appel causes et CPC</t>
  </si>
  <si>
    <t>Audience</t>
  </si>
  <si>
    <t>Chambre_5</t>
  </si>
  <si>
    <t>is chamber - date speciale</t>
  </si>
  <si>
    <t>Date speciale</t>
  </si>
  <si>
    <t>Is jour sans audience</t>
  </si>
  <si>
    <t>Day week</t>
  </si>
  <si>
    <t>6ème chambre - RGT AMIABLE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</si>
</sst>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€&quot;#,##0.00"/>
  </numFmts>
  <fonts count="25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sz val="10"/>
      <color theme="1"/>
      <name val="Century Gothic"/>
      <family val="2"/>
    </font>
    <font>
      <sz val="12"/>
      <color theme="1"/>
      <name val="Aptos Narrow"/>
      <family val="2"/>
    </font>
    <font>
      <sz val="12"/>
      <color rgb="FF000000"/>
      <name val="Aptos Narrow"/>
      <family val="2"/>
      <scheme val="minor"/>
    </font>
    <font>
      <b/>
      <u/>
      <sz val="12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i/>
      <sz val="10"/>
      <color theme="1"/>
      <name val="Century Gothic"/>
      <family val="1"/>
    </font>
    <font>
      <sz val="10"/>
      <color theme="1"/>
      <name val="Century Gothic"/>
      <family val="1"/>
    </font>
    <font>
      <sz val="10"/>
      <color theme="1"/>
      <name val="Aptos Narrow"/>
      <family val="2"/>
      <scheme val="minor"/>
    </font>
    <font>
      <b/>
      <sz val="10"/>
      <color theme="1"/>
      <name val="Century Gothic"/>
      <family val="1"/>
    </font>
    <font>
      <b/>
      <sz val="10"/>
      <name val="Century Gothic"/>
      <family val="2"/>
    </font>
    <font>
      <b/>
      <u/>
      <sz val="10"/>
      <color theme="1"/>
      <name val="Century Gothic"/>
      <family val="2"/>
    </font>
    <font>
      <b/>
      <sz val="10"/>
      <color theme="1"/>
      <name val="Century Gothic"/>
      <family val="2"/>
    </font>
    <font>
      <b/>
      <sz val="14"/>
      <color theme="1"/>
      <name val="Century Gothic"/>
      <family val="2"/>
    </font>
    <font>
      <b/>
      <i/>
      <sz val="12"/>
      <color theme="1"/>
      <name val="Aptos Narrow"/>
      <family val="2"/>
      <scheme val="minor"/>
    </font>
    <font>
      <b/>
      <i/>
      <sz val="12"/>
      <name val="Aptos Narrow"/>
      <family val="2"/>
      <scheme val="minor"/>
    </font>
    <font>
      <u/>
      <sz val="12"/>
      <color theme="1"/>
      <name val="Aptos Narrow"/>
      <family val="2"/>
      <scheme val="minor"/>
    </font>
    <font>
      <sz val="12"/>
      <color rgb="FF000000"/>
      <name val="Aptos Narrow"/>
    </font>
    <font>
      <sz val="13.3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gray0625">
        <bgColor theme="0" tint="-4.9989318521683403E-2"/>
      </patternFill>
    </fill>
    <fill>
      <patternFill patternType="solid">
        <fgColor theme="5" tint="0.7999816888943144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</borders>
  <cellStyleXfs count="2">
    <xf numFmtId="0" fontId="0" fillId="0" borderId="0"/>
    <xf numFmtId="0" fontId="3" fillId="0" borderId="0"/>
  </cellStyleXfs>
  <cellXfs count="107">
    <xf numFmtId="0" fontId="0" fillId="0" borderId="0" xfId="0"/>
    <xf numFmtId="14" fontId="0" fillId="0" borderId="0" xfId="0" applyNumberFormat="1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/>
    <xf numFmtId="14" fontId="0" fillId="3" borderId="0" xfId="0" applyNumberFormat="1" applyFill="1"/>
    <xf numFmtId="0" fontId="0" fillId="3" borderId="0" xfId="0" applyFill="1" applyAlignment="1">
      <alignment horizontal="center"/>
    </xf>
    <xf numFmtId="0" fontId="0" fillId="3" borderId="1" xfId="0" applyFill="1" applyBorder="1"/>
    <xf numFmtId="0" fontId="2" fillId="3" borderId="1" xfId="0" applyFont="1" applyFill="1" applyBorder="1" applyAlignment="1">
      <alignment horizontal="center"/>
    </xf>
    <xf numFmtId="0" fontId="0" fillId="3" borderId="0" xfId="0" applyFill="1" applyAlignment="1">
      <alignment horizontal="centerContinuous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1" xfId="0" applyBorder="1" applyAlignment="1">
      <alignment horizontal="center"/>
    </xf>
    <xf numFmtId="0" fontId="5" fillId="0" borderId="0" xfId="0" applyFont="1" applyAlignment="1">
      <alignment horizontal="center"/>
    </xf>
    <xf numFmtId="14" fontId="5" fillId="0" borderId="0" xfId="0" applyNumberFormat="1" applyFont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 applyAlignment="1">
      <alignment horizontal="center" vertical="center"/>
    </xf>
    <xf numFmtId="14" fontId="2" fillId="3" borderId="1" xfId="0" applyNumberFormat="1" applyFont="1" applyFill="1" applyBorder="1" applyAlignment="1">
      <alignment horizontal="center"/>
    </xf>
    <xf numFmtId="14" fontId="0" fillId="3" borderId="0" xfId="0" applyNumberFormat="1" applyFill="1" applyAlignment="1">
      <alignment horizontal="center"/>
    </xf>
    <xf numFmtId="14" fontId="0" fillId="0" borderId="12" xfId="0" applyNumberFormat="1" applyBorder="1" applyAlignment="1">
      <alignment horizontal="center"/>
    </xf>
    <xf numFmtId="0" fontId="2" fillId="0" borderId="0" xfId="0" applyFont="1" applyAlignment="1">
      <alignment horizontal="center"/>
    </xf>
    <xf numFmtId="0" fontId="0" fillId="2" borderId="12" xfId="0" applyFill="1" applyBorder="1" applyAlignment="1">
      <alignment horizontal="center"/>
    </xf>
    <xf numFmtId="14" fontId="0" fillId="2" borderId="2" xfId="0" applyNumberFormat="1" applyFill="1" applyBorder="1" applyAlignment="1">
      <alignment horizontal="center"/>
    </xf>
    <xf numFmtId="14" fontId="0" fillId="2" borderId="4" xfId="0" applyNumberFormat="1" applyFill="1" applyBorder="1" applyAlignment="1">
      <alignment horizontal="center"/>
    </xf>
    <xf numFmtId="14" fontId="0" fillId="2" borderId="7" xfId="0" applyNumberFormat="1" applyFill="1" applyBorder="1" applyAlignment="1">
      <alignment horizontal="center"/>
    </xf>
    <xf numFmtId="14" fontId="0" fillId="2" borderId="9" xfId="0" applyNumberFormat="1" applyFill="1" applyBorder="1" applyAlignment="1">
      <alignment horizontal="center"/>
    </xf>
    <xf numFmtId="0" fontId="0" fillId="3" borderId="0" xfId="0" applyFill="1" applyAlignment="1">
      <alignment horizontal="right"/>
    </xf>
    <xf numFmtId="0" fontId="0" fillId="3" borderId="0" xfId="0" applyFill="1" applyAlignment="1">
      <alignment horizontal="left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6" fillId="2" borderId="0" xfId="0" applyFont="1" applyFill="1"/>
    <xf numFmtId="0" fontId="6" fillId="2" borderId="0" xfId="0" applyFont="1" applyFill="1" applyAlignment="1">
      <alignment horizontal="center"/>
    </xf>
    <xf numFmtId="0" fontId="12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1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 vertical="center"/>
    </xf>
    <xf numFmtId="0" fontId="14" fillId="0" borderId="0" xfId="0" applyFont="1"/>
    <xf numFmtId="14" fontId="14" fillId="0" borderId="0" xfId="0" applyNumberFormat="1" applyFont="1"/>
    <xf numFmtId="164" fontId="15" fillId="0" borderId="0" xfId="0" applyNumberFormat="1" applyFont="1" applyAlignment="1">
      <alignment horizontal="center" vertical="center"/>
    </xf>
    <xf numFmtId="164" fontId="15" fillId="0" borderId="12" xfId="0" applyNumberFormat="1" applyFont="1" applyBorder="1" applyAlignment="1">
      <alignment horizontal="center" vertical="center"/>
    </xf>
    <xf numFmtId="0" fontId="11" fillId="4" borderId="12" xfId="0" applyFont="1" applyFill="1" applyBorder="1" applyAlignment="1">
      <alignment horizontal="center" vertical="center" textRotation="90"/>
    </xf>
    <xf numFmtId="0" fontId="14" fillId="0" borderId="0" xfId="0" applyFont="1" applyAlignment="1">
      <alignment horizontal="center" vertical="center" textRotation="90"/>
    </xf>
    <xf numFmtId="164" fontId="15" fillId="0" borderId="0" xfId="0" applyNumberFormat="1" applyFont="1" applyAlignment="1">
      <alignment horizontal="center" vertical="center" textRotation="90"/>
    </xf>
    <xf numFmtId="14" fontId="14" fillId="0" borderId="0" xfId="0" applyNumberFormat="1" applyFont="1" applyAlignment="1">
      <alignment horizontal="center" vertical="center" textRotation="90"/>
    </xf>
    <xf numFmtId="164" fontId="15" fillId="0" borderId="3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164" fontId="14" fillId="0" borderId="0" xfId="0" applyNumberFormat="1" applyFont="1" applyAlignment="1">
      <alignment horizontal="center"/>
    </xf>
    <xf numFmtId="0" fontId="16" fillId="0" borderId="0" xfId="0" applyFont="1" applyAlignment="1">
      <alignment horizontal="center" vertical="center" textRotation="68"/>
    </xf>
    <xf numFmtId="0" fontId="11" fillId="0" borderId="0" xfId="0" applyFont="1" applyAlignment="1">
      <alignment horizontal="center"/>
    </xf>
    <xf numFmtId="0" fontId="16" fillId="0" borderId="0" xfId="0" applyFont="1" applyAlignment="1">
      <alignment vertical="center" textRotation="45" shrinkToFit="1"/>
    </xf>
    <xf numFmtId="0" fontId="3" fillId="0" borderId="0" xfId="0" applyFont="1"/>
    <xf numFmtId="0" fontId="3" fillId="0" borderId="0" xfId="0" applyFont="1" applyAlignment="1">
      <alignment horizontal="center"/>
    </xf>
    <xf numFmtId="0" fontId="18" fillId="0" borderId="0" xfId="0" applyFont="1" applyAlignment="1">
      <alignment horizontal="left"/>
    </xf>
    <xf numFmtId="0" fontId="18" fillId="0" borderId="0" xfId="0" applyFont="1"/>
    <xf numFmtId="49" fontId="0" fillId="0" borderId="3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10" fillId="2" borderId="12" xfId="0" applyFont="1" applyFill="1" applyBorder="1" applyAlignment="1">
      <alignment horizontal="center"/>
    </xf>
    <xf numFmtId="0" fontId="20" fillId="0" borderId="12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14" fontId="0" fillId="0" borderId="12" xfId="0" applyNumberFormat="1" applyBorder="1" applyAlignment="1">
      <alignment horizontal="center" vertical="center"/>
    </xf>
    <xf numFmtId="0" fontId="22" fillId="2" borderId="12" xfId="0" applyFont="1" applyFill="1" applyBorder="1" applyAlignment="1">
      <alignment horizontal="center"/>
    </xf>
    <xf numFmtId="2" fontId="1" fillId="3" borderId="0" xfId="0" applyNumberFormat="1" applyFont="1" applyFill="1" applyAlignment="1">
      <alignment horizontal="center"/>
    </xf>
    <xf numFmtId="2" fontId="0" fillId="3" borderId="0" xfId="0" applyNumberFormat="1" applyFill="1"/>
    <xf numFmtId="2" fontId="0" fillId="0" borderId="0" xfId="0" applyNumberFormat="1" applyAlignment="1">
      <alignment horizontal="center"/>
    </xf>
    <xf numFmtId="2" fontId="0" fillId="0" borderId="0" xfId="0" applyNumberFormat="1"/>
    <xf numFmtId="2" fontId="2" fillId="3" borderId="1" xfId="0" applyNumberFormat="1" applyFont="1" applyFill="1" applyBorder="1" applyAlignment="1">
      <alignment horizontal="centerContinuous"/>
    </xf>
    <xf numFmtId="0" fontId="17" fillId="2" borderId="0" xfId="0" applyFont="1" applyFill="1" applyAlignment="1">
      <alignment horizontal="center"/>
    </xf>
    <xf numFmtId="0" fontId="19" fillId="0" borderId="0" xfId="0" applyFont="1" applyAlignment="1">
      <alignment horizontal="center"/>
    </xf>
    <xf numFmtId="14" fontId="1" fillId="3" borderId="0" xfId="0" applyNumberFormat="1" applyFont="1" applyFill="1" applyAlignment="1">
      <alignment horizontal="center"/>
    </xf>
    <xf numFmtId="14" fontId="0" fillId="0" borderId="0" xfId="0" applyNumberFormat="1" applyAlignment="1">
      <alignment horizontal="center"/>
    </xf>
    <xf numFmtId="0" fontId="1" fillId="3" borderId="0" xfId="0" applyFont="1" applyFill="1" applyAlignment="1">
      <alignment horizontal="center"/>
    </xf>
    <xf numFmtId="14" fontId="0" fillId="5" borderId="0" xfId="0" applyNumberFormat="1" applyFill="1" applyAlignment="1">
      <alignment horizont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1" fillId="0" borderId="12" xfId="0" applyFont="1" applyBorder="1" applyAlignment="1">
      <alignment horizontal="center"/>
    </xf>
  </cellXfs>
  <cellStyles count="2">
    <cellStyle name="Normal" xfId="0" builtinId="0"/>
    <cellStyle name="Normal 2" xfId="1" xr:uid="{B5761A1B-0465-BF40-B5C0-724493933707}"/>
  </cellStyles>
  <dxfs count="6">
    <dxf>
      <font>
        <color theme="3" tint="0.89996032593768116"/>
      </font>
      <fill>
        <patternFill>
          <bgColor theme="3" tint="0.89996032593768116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1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431800</xdr:colOff>
          <xdr:row>1</xdr:row>
          <xdr:rowOff>127000</xdr:rowOff>
        </xdr:from>
        <xdr:to>
          <xdr:col>21</xdr:col>
          <xdr:colOff>266700</xdr:colOff>
          <xdr:row>5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Générer le calendrier de la chambre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393700</xdr:colOff>
          <xdr:row>5</xdr:row>
          <xdr:rowOff>139700</xdr:rowOff>
        </xdr:from>
        <xdr:to>
          <xdr:col>21</xdr:col>
          <xdr:colOff>228600</xdr:colOff>
          <xdr:row>7</xdr:row>
          <xdr:rowOff>444500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330" b="0" i="0" u="none" strike="noStrike" baseline="0">
                  <a:solidFill>
                    <a:srgbClr val="000000"/>
                  </a:solidFill>
                  <a:latin typeface="Aptos Narrow" charset="0"/>
                </a:rPr>
                <a:t>Supprimer tous calendriers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84D07-244A-5C4A-A594-BE92446FD61A}">
  <sheetPr codeName="Sheet1">
    <tabColor theme="9" tint="0.59999389629810485"/>
    <pageSetUpPr fitToPage="1"/>
  </sheetPr>
  <dimension ref="A1:AF269"/>
  <sheetViews>
    <sheetView tabSelected="1" topLeftCell="D1" zoomScale="139" workbookViewId="0">
      <selection activeCell="T12" sqref="T12"/>
    </sheetView>
  </sheetViews>
  <sheetFormatPr baseColWidth="10" defaultColWidth="10.83203125" defaultRowHeight="14" outlineLevelCol="1" x14ac:dyDescent="0.2"/>
  <cols>
    <col min="1" max="1" width="13.1640625" style="61" hidden="1" customWidth="1" outlineLevel="1"/>
    <col min="2" max="2" width="14.5" style="61" hidden="1" customWidth="1" outlineLevel="1"/>
    <col min="3" max="3" width="23.6640625" style="62" hidden="1" customWidth="1" outlineLevel="1"/>
    <col min="4" max="4" width="12" style="76" bestFit="1" customWidth="1" collapsed="1"/>
    <col min="5" max="5" width="9.1640625" style="63" bestFit="1" customWidth="1"/>
    <col min="6" max="6" width="20" style="62" bestFit="1" customWidth="1"/>
    <col min="7" max="7" width="8.1640625" style="62" customWidth="1"/>
    <col min="8" max="8" width="6" style="62" bestFit="1" customWidth="1"/>
    <col min="9" max="9" width="4.83203125" style="62" bestFit="1" customWidth="1"/>
    <col min="10" max="11" width="3.6640625" style="62" bestFit="1" customWidth="1"/>
    <col min="12" max="12" width="9.33203125" style="62" bestFit="1" customWidth="1"/>
    <col min="13" max="15" width="4.83203125" style="62" bestFit="1" customWidth="1"/>
    <col min="16" max="16" width="5" style="62" bestFit="1" customWidth="1"/>
    <col min="17" max="17" width="4.83203125" style="62" bestFit="1" customWidth="1"/>
    <col min="18" max="18" width="12.1640625" style="62" bestFit="1" customWidth="1"/>
    <col min="19" max="19" width="10.6640625" style="62" bestFit="1" customWidth="1"/>
    <col min="20" max="20" width="13" style="62" bestFit="1" customWidth="1"/>
    <col min="21" max="21" width="2.6640625" style="62" bestFit="1" customWidth="1"/>
    <col min="22" max="22" width="4.83203125" style="62" bestFit="1" customWidth="1"/>
    <col min="23" max="31" width="2.6640625" style="62" bestFit="1" customWidth="1"/>
    <col min="32" max="32" width="10.83203125" style="61"/>
    <col min="33" max="16384" width="10.83203125" style="62"/>
  </cols>
  <sheetData>
    <row r="1" spans="1:32" s="64" customFormat="1" x14ac:dyDescent="0.2">
      <c r="A1" s="61"/>
      <c r="B1" s="61"/>
      <c r="C1" s="62"/>
      <c r="D1" s="62"/>
      <c r="E1" s="63"/>
      <c r="AF1" s="65"/>
    </row>
    <row r="2" spans="1:32" s="64" customFormat="1" x14ac:dyDescent="0.2">
      <c r="A2" s="61"/>
      <c r="B2" s="61"/>
      <c r="C2" s="62"/>
      <c r="D2" s="57" t="s">
        <v>99</v>
      </c>
      <c r="E2" s="59" t="str" cm="1">
        <f t="array" ref="E2:E6">IF(INDEX('Data chambre'!$B$3:$O$7,,'MEP Calendrier'!$C$7)=0, "", INDEX('Data chambre'!$B$3:$O$7,,'MEP Calendrier'!$C$7))</f>
        <v>Vendredi</v>
      </c>
      <c r="G2" s="78"/>
      <c r="H2" s="78"/>
      <c r="I2" s="78"/>
      <c r="J2" s="79"/>
      <c r="K2" s="94" t="s">
        <v>163</v>
      </c>
      <c r="L2" s="94"/>
      <c r="M2" s="94"/>
      <c r="N2" s="94"/>
      <c r="AF2" s="65"/>
    </row>
    <row r="3" spans="1:32" s="64" customFormat="1" x14ac:dyDescent="0.2">
      <c r="A3" s="61"/>
      <c r="B3" s="61"/>
      <c r="C3" s="62"/>
      <c r="D3" s="58"/>
      <c r="E3" s="60" t="str">
        <v/>
      </c>
      <c r="G3" s="80" t="str" cm="1">
        <f t="array" ref="G3">IF(INDEX('Data chambre'!$B$8:$O$8,,MATCH('MEP Calendrier'!$C$6,'Data chambre'!$B$1:$O$1))=0,"","Heure : "&amp;INDEX('Data chambre'!$B$8:$O$8,,MATCH('MEP Calendrier'!$C$6,'Data chambre'!$B$1:$O$1)))</f>
        <v>Heure : 8h30</v>
      </c>
      <c r="H3" s="78"/>
      <c r="I3" s="78"/>
      <c r="J3" s="78"/>
      <c r="K3" s="78"/>
      <c r="L3" s="78"/>
      <c r="M3" s="78"/>
      <c r="N3" s="78"/>
      <c r="AF3" s="65"/>
    </row>
    <row r="4" spans="1:32" s="64" customFormat="1" x14ac:dyDescent="0.2">
      <c r="A4" s="61"/>
      <c r="B4" s="61"/>
      <c r="C4" s="62"/>
      <c r="D4" s="58"/>
      <c r="E4" s="60" t="str">
        <v/>
      </c>
      <c r="G4" s="81" t="str">
        <f>IF(F8="","","Président : "&amp;$F$8)</f>
        <v>Président : E. BALDACCHINO</v>
      </c>
      <c r="H4" s="78"/>
      <c r="I4" s="78"/>
      <c r="J4" s="78"/>
      <c r="K4" s="78"/>
      <c r="L4" s="78"/>
      <c r="M4" s="78"/>
      <c r="N4" s="78"/>
      <c r="AF4" s="65"/>
    </row>
    <row r="5" spans="1:32" s="64" customFormat="1" x14ac:dyDescent="0.2">
      <c r="A5" s="61"/>
      <c r="B5" s="61"/>
      <c r="C5" s="62"/>
      <c r="D5" s="58"/>
      <c r="E5" s="60" t="str">
        <v/>
      </c>
      <c r="G5" s="62"/>
      <c r="AF5" s="65"/>
    </row>
    <row r="6" spans="1:32" s="64" customFormat="1" ht="13.5" customHeight="1" x14ac:dyDescent="0.2">
      <c r="A6" s="61"/>
      <c r="B6" s="61"/>
      <c r="C6" s="62"/>
      <c r="D6" s="58"/>
      <c r="E6" s="60" t="str">
        <v/>
      </c>
      <c r="G6" s="62"/>
      <c r="AF6" s="65"/>
    </row>
    <row r="7" spans="1:32" s="64" customFormat="1" ht="18" x14ac:dyDescent="0.2">
      <c r="A7" s="61"/>
      <c r="B7" s="61"/>
      <c r="C7" s="62"/>
      <c r="D7" s="95" t="str">
        <f>"ANNEE JUDICIAIRE "&amp; YEAR(Dates!C2)</f>
        <v>ANNEE JUDICIAIRE 2025</v>
      </c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AF7" s="65"/>
    </row>
    <row r="8" spans="1:32" s="69" customFormat="1" ht="124" customHeight="1" x14ac:dyDescent="0.2">
      <c r="A8" s="61" t="s">
        <v>98</v>
      </c>
      <c r="B8" s="61" t="s">
        <v>110</v>
      </c>
      <c r="C8" s="62" t="s">
        <v>100</v>
      </c>
      <c r="D8" s="66" t="s">
        <v>96</v>
      </c>
      <c r="E8" s="67" t="s">
        <v>97</v>
      </c>
      <c r="F8" s="68" t="str" cm="1">
        <f t="array" ref="F8:AB8">TRANSPOSE(IF(INDEX('Data chambre'!$B$9:$O$31,,'MEP Calendrier'!$C$7)=0, "", INDEX('Data chambre'!$B$9:$O$31,,'MEP Calendrier'!$C$7)))</f>
        <v>E. BALDACCHINO</v>
      </c>
      <c r="G8" s="69" t="str">
        <v>C. CHARBONNIER</v>
      </c>
      <c r="H8" s="70" t="str">
        <v>JP. LEYRAUD</v>
      </c>
      <c r="I8" s="70" t="str">
        <v>R. DUPLESSY</v>
      </c>
      <c r="J8" s="70" t="str">
        <v>F. TOUSSAINT</v>
      </c>
      <c r="K8" s="70" t="str">
        <v>P. SPICA</v>
      </c>
      <c r="L8" s="70" t="str">
        <v>T. MARMILLON</v>
      </c>
      <c r="M8" s="70" t="str">
        <v>P. BOCCARDI</v>
      </c>
      <c r="N8" s="70" t="str">
        <v>J. SALORD</v>
      </c>
      <c r="O8" s="70" t="str">
        <v>D. MARTINET</v>
      </c>
      <c r="P8" s="70" t="str">
        <v/>
      </c>
      <c r="Q8" s="70" t="str">
        <v/>
      </c>
      <c r="R8" s="69" t="str">
        <v/>
      </c>
      <c r="S8" s="69" t="str">
        <v/>
      </c>
      <c r="T8" s="69" t="str">
        <v/>
      </c>
      <c r="U8" s="69" t="str">
        <v/>
      </c>
      <c r="V8" s="69" t="str">
        <v/>
      </c>
      <c r="W8" s="69" t="str">
        <v/>
      </c>
      <c r="X8" s="69" t="str">
        <v/>
      </c>
      <c r="Y8" s="69" t="str">
        <v/>
      </c>
      <c r="Z8" s="69" t="str">
        <v/>
      </c>
      <c r="AA8" s="69" t="str">
        <v/>
      </c>
      <c r="AB8" s="69" t="str">
        <v/>
      </c>
      <c r="AF8" s="71"/>
    </row>
    <row r="9" spans="1:32" ht="17" customHeight="1" x14ac:dyDescent="0.2">
      <c r="A9" s="61" cm="1">
        <f t="array" ref="A9:A61">_xlfn._xlws.FILTER(_xlfn.ANCHORARRAY('MEP Calendrier'!B11),'MEP Calendrier'!N11:INDEX('MEP Calendrier'!N:N,'MEP Calendrier'!$F$5)=TRUE)</f>
        <v>45688</v>
      </c>
      <c r="C9" s="62" t="str" cm="1">
        <f t="array" aca="1" ref="C9:C61" ca="1">INDEX(_xlfn.ANCHORARRAY('MEP Calendrier'!C11),MATCH(_xlfn.ANCHORARRAY('Dynamic calendar'!A9),_xlfn.ANCHORARRAY('MEP Calendrier'!B11),0))</f>
        <v>Jour semaine</v>
      </c>
      <c r="D9" s="72" t="str" cm="1">
        <f t="array" ref="D9:D61">TEXT(_xlfn.ANCHORARRAY(A9), "mmmm")</f>
        <v>January</v>
      </c>
      <c r="E9" s="63" cm="1">
        <f t="array" ref="E9:E61">DAY(_xlfn.ANCHORARRAY(A9))</f>
        <v>31</v>
      </c>
      <c r="F9" s="73" t="str" cm="1">
        <f t="array" aca="1" ref="F9:F61" ca="1">_xlfn.IFNA(
    IF(_xlfn.ANCHORARRAY(
        C9)="Jour semaine", "",
        IF(_xlfn.ANCHORARRAY(C9)="Jour semaine férié", "FERIE",
        IF(_xlfn.ANCHORARRAY(C9)="Jour semaine vacation été", "VACATION ETE",
        IF(_xlfn.ANCHORARRAY(C9)="Jour semaine vacation hiver", "VACATION HIVER",_xlfn.ANCHORARRAY( C9))))
    ),""
)</f>
        <v/>
      </c>
      <c r="M9" s="61"/>
      <c r="Q9" s="74"/>
    </row>
    <row r="10" spans="1:32" ht="17" customHeight="1" x14ac:dyDescent="0.2">
      <c r="A10" s="61">
        <v>45695</v>
      </c>
      <c r="C10" s="62" t="str">
        <f ca="1"/>
        <v>Jour semaine</v>
      </c>
      <c r="D10" s="66" t="str">
        <v>February</v>
      </c>
      <c r="E10" s="63">
        <v>7</v>
      </c>
      <c r="F10" s="73" t="str">
        <f ca="1"/>
        <v/>
      </c>
      <c r="K10" s="61"/>
    </row>
    <row r="11" spans="1:32" ht="17" customHeight="1" x14ac:dyDescent="0.2">
      <c r="A11" s="61">
        <v>45702</v>
      </c>
      <c r="C11" s="62" t="str">
        <f ca="1"/>
        <v>Jour semaine</v>
      </c>
      <c r="D11" s="66" t="str">
        <v>February</v>
      </c>
      <c r="E11" s="63">
        <v>14</v>
      </c>
      <c r="F11" s="73" t="str">
        <f ca="1"/>
        <v/>
      </c>
      <c r="K11" s="61"/>
    </row>
    <row r="12" spans="1:32" ht="17" customHeight="1" x14ac:dyDescent="0.2">
      <c r="A12" s="61">
        <v>45709</v>
      </c>
      <c r="C12" s="62" t="str">
        <f ca="1"/>
        <v>Jour semaine</v>
      </c>
      <c r="D12" s="66" t="str">
        <v>February</v>
      </c>
      <c r="E12" s="63">
        <v>21</v>
      </c>
      <c r="F12" s="73" t="str">
        <f ca="1"/>
        <v/>
      </c>
      <c r="K12" s="61"/>
    </row>
    <row r="13" spans="1:32" ht="17" customHeight="1" x14ac:dyDescent="0.2">
      <c r="A13" s="61">
        <v>45716</v>
      </c>
      <c r="C13" s="62" t="str">
        <f ca="1"/>
        <v>Jour semaine</v>
      </c>
      <c r="D13" s="66" t="str">
        <v>February</v>
      </c>
      <c r="E13" s="63">
        <v>28</v>
      </c>
      <c r="F13" s="73" t="str">
        <f ca="1"/>
        <v/>
      </c>
      <c r="I13" s="77"/>
      <c r="K13" s="61"/>
    </row>
    <row r="14" spans="1:32" ht="17" customHeight="1" x14ac:dyDescent="0.2">
      <c r="A14" s="61">
        <v>45723</v>
      </c>
      <c r="C14" s="62" t="str">
        <f ca="1"/>
        <v>Jour semaine</v>
      </c>
      <c r="D14" s="66" t="str">
        <v>March</v>
      </c>
      <c r="E14" s="63">
        <v>7</v>
      </c>
      <c r="F14" s="73" t="str">
        <f ca="1"/>
        <v/>
      </c>
      <c r="I14" s="77"/>
      <c r="K14" s="61"/>
    </row>
    <row r="15" spans="1:32" ht="17" customHeight="1" x14ac:dyDescent="0.2">
      <c r="A15" s="61">
        <v>45730</v>
      </c>
      <c r="C15" s="62" t="str">
        <f ca="1"/>
        <v>Jour semaine</v>
      </c>
      <c r="D15" s="66" t="str">
        <v>March</v>
      </c>
      <c r="E15" s="63">
        <v>14</v>
      </c>
      <c r="F15" s="73" t="str">
        <f ca="1"/>
        <v/>
      </c>
      <c r="I15" s="77"/>
      <c r="K15" s="61"/>
      <c r="O15" s="75"/>
    </row>
    <row r="16" spans="1:32" ht="17" customHeight="1" x14ac:dyDescent="0.2">
      <c r="A16" s="61">
        <v>45737</v>
      </c>
      <c r="C16" s="62" t="str">
        <f ca="1"/>
        <v>Jour semaine</v>
      </c>
      <c r="D16" s="66" t="str">
        <v>March</v>
      </c>
      <c r="E16" s="63">
        <v>21</v>
      </c>
      <c r="F16" s="73" t="str">
        <f ca="1"/>
        <v/>
      </c>
      <c r="I16" s="77"/>
      <c r="K16" s="61"/>
      <c r="O16" s="75"/>
    </row>
    <row r="17" spans="1:15" ht="17" customHeight="1" x14ac:dyDescent="0.2">
      <c r="A17" s="61">
        <v>45744</v>
      </c>
      <c r="C17" s="62" t="str">
        <f ca="1"/>
        <v>Jour semaine</v>
      </c>
      <c r="D17" s="66" t="str">
        <v>March</v>
      </c>
      <c r="E17" s="63">
        <v>28</v>
      </c>
      <c r="F17" s="73" t="str">
        <f ca="1"/>
        <v/>
      </c>
      <c r="I17" s="77"/>
      <c r="K17" s="61"/>
      <c r="O17" s="75"/>
    </row>
    <row r="18" spans="1:15" ht="17" customHeight="1" x14ac:dyDescent="0.2">
      <c r="A18" s="61">
        <v>45751</v>
      </c>
      <c r="C18" s="62" t="str">
        <f ca="1"/>
        <v>Jour semaine</v>
      </c>
      <c r="D18" s="66" t="str">
        <v>April</v>
      </c>
      <c r="E18" s="63">
        <v>4</v>
      </c>
      <c r="F18" s="73" t="str">
        <f ca="1"/>
        <v/>
      </c>
      <c r="I18" s="77"/>
      <c r="K18" s="61"/>
      <c r="O18" s="75"/>
    </row>
    <row r="19" spans="1:15" ht="17" customHeight="1" x14ac:dyDescent="0.2">
      <c r="A19" s="61">
        <v>45758</v>
      </c>
      <c r="C19" s="62" t="str">
        <f ca="1"/>
        <v>Jour semaine</v>
      </c>
      <c r="D19" s="66" t="str">
        <v>April</v>
      </c>
      <c r="E19" s="63">
        <v>11</v>
      </c>
      <c r="F19" s="73" t="str">
        <f ca="1"/>
        <v/>
      </c>
      <c r="K19" s="61"/>
      <c r="O19" s="75"/>
    </row>
    <row r="20" spans="1:15" ht="17" customHeight="1" x14ac:dyDescent="0.2">
      <c r="A20" s="61">
        <v>45765</v>
      </c>
      <c r="C20" s="62" t="str">
        <f ca="1"/>
        <v>Jour semaine</v>
      </c>
      <c r="D20" s="66" t="str">
        <v>April</v>
      </c>
      <c r="E20" s="63">
        <v>18</v>
      </c>
      <c r="F20" s="73" t="str">
        <f ca="1"/>
        <v/>
      </c>
      <c r="K20" s="61"/>
      <c r="O20" s="75"/>
    </row>
    <row r="21" spans="1:15" ht="17" customHeight="1" x14ac:dyDescent="0.2">
      <c r="A21" s="61">
        <v>45772</v>
      </c>
      <c r="C21" s="62" t="str">
        <f ca="1"/>
        <v>Jour semaine</v>
      </c>
      <c r="D21" s="66" t="str">
        <v>April</v>
      </c>
      <c r="E21" s="63">
        <v>25</v>
      </c>
      <c r="F21" s="73" t="str">
        <f ca="1"/>
        <v/>
      </c>
      <c r="K21" s="61"/>
    </row>
    <row r="22" spans="1:15" ht="17" customHeight="1" x14ac:dyDescent="0.2">
      <c r="A22" s="61">
        <v>45779</v>
      </c>
      <c r="C22" s="62" t="str">
        <f ca="1"/>
        <v>Pas audience</v>
      </c>
      <c r="D22" s="66" t="str">
        <v>May</v>
      </c>
      <c r="E22" s="63">
        <v>2</v>
      </c>
      <c r="F22" s="73" t="str">
        <f ca="1"/>
        <v>Pas audience</v>
      </c>
      <c r="K22" s="61"/>
    </row>
    <row r="23" spans="1:15" ht="17" customHeight="1" x14ac:dyDescent="0.2">
      <c r="A23" s="61">
        <v>45786</v>
      </c>
      <c r="C23" s="62" t="str">
        <f ca="1"/>
        <v>Jour semaine</v>
      </c>
      <c r="D23" s="66" t="str">
        <v>May</v>
      </c>
      <c r="E23" s="63">
        <v>9</v>
      </c>
      <c r="F23" s="73" t="str">
        <f ca="1"/>
        <v/>
      </c>
      <c r="K23" s="61"/>
    </row>
    <row r="24" spans="1:15" ht="17" customHeight="1" x14ac:dyDescent="0.2">
      <c r="A24" s="61">
        <v>45793</v>
      </c>
      <c r="C24" s="62" t="str">
        <f ca="1"/>
        <v>Jour semaine</v>
      </c>
      <c r="D24" s="66" t="str">
        <v>May</v>
      </c>
      <c r="E24" s="63">
        <v>16</v>
      </c>
      <c r="F24" s="73" t="str">
        <f ca="1"/>
        <v/>
      </c>
      <c r="K24" s="61"/>
    </row>
    <row r="25" spans="1:15" ht="17" customHeight="1" x14ac:dyDescent="0.2">
      <c r="A25" s="61">
        <v>45800</v>
      </c>
      <c r="C25" s="62" t="str">
        <f ca="1"/>
        <v>Jour semaine</v>
      </c>
      <c r="D25" s="66" t="str">
        <v>May</v>
      </c>
      <c r="E25" s="63">
        <v>23</v>
      </c>
      <c r="F25" s="73" t="str">
        <f ca="1"/>
        <v/>
      </c>
      <c r="K25" s="61"/>
    </row>
    <row r="26" spans="1:15" ht="17" customHeight="1" x14ac:dyDescent="0.2">
      <c r="A26" s="61">
        <v>45807</v>
      </c>
      <c r="C26" s="62" t="str">
        <f ca="1"/>
        <v>Pas audience</v>
      </c>
      <c r="D26" s="66" t="str">
        <v>May</v>
      </c>
      <c r="E26" s="63">
        <v>30</v>
      </c>
      <c r="F26" s="73" t="str">
        <f ca="1"/>
        <v>Pas audience</v>
      </c>
      <c r="K26" s="61"/>
    </row>
    <row r="27" spans="1:15" ht="17" customHeight="1" x14ac:dyDescent="0.2">
      <c r="A27" s="61">
        <v>45814</v>
      </c>
      <c r="C27" s="62" t="str">
        <f ca="1"/>
        <v>Jour semaine</v>
      </c>
      <c r="D27" s="66" t="str">
        <v>June</v>
      </c>
      <c r="E27" s="63">
        <v>6</v>
      </c>
      <c r="F27" s="73" t="str">
        <f ca="1"/>
        <v/>
      </c>
      <c r="K27" s="61"/>
    </row>
    <row r="28" spans="1:15" ht="17" customHeight="1" x14ac:dyDescent="0.2">
      <c r="A28" s="61">
        <v>45821</v>
      </c>
      <c r="C28" s="62" t="str">
        <f ca="1"/>
        <v>Jour semaine</v>
      </c>
      <c r="D28" s="66" t="str">
        <v>June</v>
      </c>
      <c r="E28" s="63">
        <v>13</v>
      </c>
      <c r="F28" s="73" t="str">
        <f ca="1"/>
        <v/>
      </c>
      <c r="K28" s="61"/>
    </row>
    <row r="29" spans="1:15" ht="17" customHeight="1" x14ac:dyDescent="0.2">
      <c r="A29" s="61">
        <v>45828</v>
      </c>
      <c r="C29" s="62" t="str">
        <f ca="1"/>
        <v>Jour semaine</v>
      </c>
      <c r="D29" s="66" t="str">
        <v>June</v>
      </c>
      <c r="E29" s="63">
        <v>20</v>
      </c>
      <c r="F29" s="73" t="str">
        <f ca="1"/>
        <v/>
      </c>
      <c r="K29" s="61"/>
    </row>
    <row r="30" spans="1:15" ht="17" customHeight="1" x14ac:dyDescent="0.2">
      <c r="A30" s="61">
        <v>45835</v>
      </c>
      <c r="C30" s="62" t="str">
        <f ca="1"/>
        <v>Jour semaine</v>
      </c>
      <c r="D30" s="66" t="str">
        <v>June</v>
      </c>
      <c r="E30" s="63">
        <v>27</v>
      </c>
      <c r="F30" s="73" t="str">
        <f ca="1"/>
        <v/>
      </c>
      <c r="K30" s="61"/>
    </row>
    <row r="31" spans="1:15" ht="17" customHeight="1" x14ac:dyDescent="0.2">
      <c r="A31" s="61">
        <v>45842</v>
      </c>
      <c r="C31" s="62" t="str">
        <f ca="1"/>
        <v>Jour semaine</v>
      </c>
      <c r="D31" s="66" t="str">
        <v>July</v>
      </c>
      <c r="E31" s="63">
        <v>4</v>
      </c>
      <c r="F31" s="73" t="str">
        <f ca="1"/>
        <v/>
      </c>
      <c r="K31" s="61"/>
    </row>
    <row r="32" spans="1:15" ht="17" customHeight="1" x14ac:dyDescent="0.2">
      <c r="A32" s="61">
        <v>45849</v>
      </c>
      <c r="C32" s="62" t="str">
        <f ca="1"/>
        <v>Jour semaine</v>
      </c>
      <c r="D32" s="66" t="str">
        <v>July</v>
      </c>
      <c r="E32" s="63">
        <v>11</v>
      </c>
      <c r="F32" s="73" t="str">
        <f ca="1"/>
        <v/>
      </c>
      <c r="K32" s="61"/>
    </row>
    <row r="33" spans="1:11" ht="17" customHeight="1" x14ac:dyDescent="0.2">
      <c r="A33" s="61">
        <v>45856</v>
      </c>
      <c r="C33" s="62" t="str">
        <f ca="1"/>
        <v>Jour semaine</v>
      </c>
      <c r="D33" s="66" t="str">
        <v>July</v>
      </c>
      <c r="E33" s="63">
        <v>18</v>
      </c>
      <c r="F33" s="73" t="str">
        <f ca="1"/>
        <v/>
      </c>
      <c r="K33" s="61"/>
    </row>
    <row r="34" spans="1:11" ht="17" customHeight="1" x14ac:dyDescent="0.2">
      <c r="A34" s="61">
        <v>45863</v>
      </c>
      <c r="C34" s="62" t="str">
        <f ca="1"/>
        <v>Jour semaine</v>
      </c>
      <c r="D34" s="66" t="str">
        <v>July</v>
      </c>
      <c r="E34" s="63">
        <v>25</v>
      </c>
      <c r="F34" s="73" t="str">
        <f ca="1"/>
        <v/>
      </c>
      <c r="K34" s="61"/>
    </row>
    <row r="35" spans="1:11" ht="17" customHeight="1" x14ac:dyDescent="0.2">
      <c r="A35" s="61">
        <v>45870</v>
      </c>
      <c r="C35" s="62" t="str">
        <f ca="1"/>
        <v>Jour semaine vacation été</v>
      </c>
      <c r="D35" s="66" t="str">
        <v>August</v>
      </c>
      <c r="E35" s="63">
        <v>1</v>
      </c>
      <c r="F35" s="73" t="str">
        <f ca="1"/>
        <v>VACATION ETE</v>
      </c>
      <c r="K35" s="61"/>
    </row>
    <row r="36" spans="1:11" ht="17" customHeight="1" x14ac:dyDescent="0.2">
      <c r="A36" s="61">
        <v>45877</v>
      </c>
      <c r="C36" s="62" t="str">
        <f ca="1"/>
        <v>Jour semaine vacation été</v>
      </c>
      <c r="D36" s="66" t="str">
        <v>August</v>
      </c>
      <c r="E36" s="63">
        <v>8</v>
      </c>
      <c r="F36" s="73" t="str">
        <f ca="1"/>
        <v>VACATION ETE</v>
      </c>
      <c r="K36" s="61"/>
    </row>
    <row r="37" spans="1:11" ht="17" customHeight="1" x14ac:dyDescent="0.2">
      <c r="A37" s="61">
        <v>45884</v>
      </c>
      <c r="C37" s="62" t="str">
        <f ca="1"/>
        <v>Jour semaine férié</v>
      </c>
      <c r="D37" s="66" t="str">
        <v>August</v>
      </c>
      <c r="E37" s="63">
        <v>15</v>
      </c>
      <c r="F37" s="73" t="str">
        <f ca="1"/>
        <v>FERIE</v>
      </c>
      <c r="K37" s="61"/>
    </row>
    <row r="38" spans="1:11" ht="17" customHeight="1" x14ac:dyDescent="0.2">
      <c r="A38" s="61">
        <v>45891</v>
      </c>
      <c r="C38" s="62" t="str">
        <f ca="1"/>
        <v>Jour semaine vacation été</v>
      </c>
      <c r="D38" s="66" t="str">
        <v>August</v>
      </c>
      <c r="E38" s="63">
        <v>22</v>
      </c>
      <c r="F38" s="73" t="str">
        <f ca="1"/>
        <v>VACATION ETE</v>
      </c>
      <c r="K38" s="61"/>
    </row>
    <row r="39" spans="1:11" ht="17" customHeight="1" x14ac:dyDescent="0.2">
      <c r="A39" s="61">
        <v>45898</v>
      </c>
      <c r="C39" s="62" t="str">
        <f ca="1"/>
        <v>Jour semaine vacation été</v>
      </c>
      <c r="D39" s="66" t="str">
        <v>August</v>
      </c>
      <c r="E39" s="63">
        <v>29</v>
      </c>
      <c r="F39" s="73" t="str">
        <f ca="1"/>
        <v>VACATION ETE</v>
      </c>
      <c r="K39" s="61"/>
    </row>
    <row r="40" spans="1:11" ht="17" customHeight="1" x14ac:dyDescent="0.2">
      <c r="A40" s="61">
        <v>45905</v>
      </c>
      <c r="C40" s="62" t="str">
        <f ca="1"/>
        <v>Jour semaine vacation été</v>
      </c>
      <c r="D40" s="66" t="str">
        <v>September</v>
      </c>
      <c r="E40" s="63">
        <v>5</v>
      </c>
      <c r="F40" s="73" t="str">
        <f ca="1"/>
        <v>VACATION ETE</v>
      </c>
      <c r="K40" s="61"/>
    </row>
    <row r="41" spans="1:11" ht="17" customHeight="1" x14ac:dyDescent="0.2">
      <c r="A41" s="61">
        <v>45912</v>
      </c>
      <c r="C41" s="62" t="str">
        <f ca="1"/>
        <v>Jour semaine</v>
      </c>
      <c r="D41" s="66" t="str">
        <v>September</v>
      </c>
      <c r="E41" s="63">
        <v>12</v>
      </c>
      <c r="F41" s="73" t="str">
        <f ca="1"/>
        <v/>
      </c>
      <c r="K41" s="61"/>
    </row>
    <row r="42" spans="1:11" ht="17" customHeight="1" x14ac:dyDescent="0.2">
      <c r="A42" s="61">
        <v>45919</v>
      </c>
      <c r="C42" s="62" t="str">
        <f ca="1"/>
        <v>Jour semaine</v>
      </c>
      <c r="D42" s="66" t="str">
        <v>September</v>
      </c>
      <c r="E42" s="63">
        <v>19</v>
      </c>
      <c r="F42" s="73" t="str">
        <f ca="1"/>
        <v/>
      </c>
      <c r="K42" s="61"/>
    </row>
    <row r="43" spans="1:11" ht="17" customHeight="1" x14ac:dyDescent="0.2">
      <c r="A43" s="61">
        <v>45926</v>
      </c>
      <c r="C43" s="62" t="str">
        <f ca="1"/>
        <v>Jour semaine</v>
      </c>
      <c r="D43" s="66" t="str">
        <v>September</v>
      </c>
      <c r="E43" s="63">
        <v>26</v>
      </c>
      <c r="F43" s="73" t="str">
        <f ca="1"/>
        <v/>
      </c>
      <c r="K43" s="61"/>
    </row>
    <row r="44" spans="1:11" ht="17" customHeight="1" x14ac:dyDescent="0.2">
      <c r="A44" s="61">
        <v>45933</v>
      </c>
      <c r="C44" s="62" t="str">
        <f ca="1"/>
        <v>Jour semaine</v>
      </c>
      <c r="D44" s="66" t="str">
        <v>October</v>
      </c>
      <c r="E44" s="63">
        <v>3</v>
      </c>
      <c r="F44" s="73" t="str">
        <f ca="1"/>
        <v/>
      </c>
      <c r="K44" s="61"/>
    </row>
    <row r="45" spans="1:11" ht="17" customHeight="1" x14ac:dyDescent="0.2">
      <c r="A45" s="61">
        <v>45940</v>
      </c>
      <c r="C45" s="62" t="str">
        <f ca="1"/>
        <v>Jour semaine</v>
      </c>
      <c r="D45" s="66" t="str">
        <v>October</v>
      </c>
      <c r="E45" s="63">
        <v>10</v>
      </c>
      <c r="F45" s="73" t="str">
        <f ca="1"/>
        <v/>
      </c>
      <c r="K45" s="61"/>
    </row>
    <row r="46" spans="1:11" ht="17" customHeight="1" x14ac:dyDescent="0.2">
      <c r="A46" s="61">
        <v>45947</v>
      </c>
      <c r="C46" s="62" t="str">
        <f ca="1"/>
        <v>Jour semaine</v>
      </c>
      <c r="D46" s="66" t="str">
        <v>October</v>
      </c>
      <c r="E46" s="63">
        <v>17</v>
      </c>
      <c r="F46" s="73" t="str">
        <f ca="1"/>
        <v/>
      </c>
      <c r="K46" s="61"/>
    </row>
    <row r="47" spans="1:11" ht="17" customHeight="1" x14ac:dyDescent="0.2">
      <c r="A47" s="61">
        <v>45954</v>
      </c>
      <c r="C47" s="62" t="str">
        <f ca="1"/>
        <v>Jour semaine</v>
      </c>
      <c r="D47" s="66" t="str">
        <v>October</v>
      </c>
      <c r="E47" s="63">
        <v>24</v>
      </c>
      <c r="F47" s="73" t="str">
        <f ca="1"/>
        <v/>
      </c>
      <c r="K47" s="61"/>
    </row>
    <row r="48" spans="1:11" ht="17" customHeight="1" x14ac:dyDescent="0.2">
      <c r="A48" s="61">
        <v>45961</v>
      </c>
      <c r="C48" s="62" t="str">
        <f ca="1"/>
        <v>Jour semaine</v>
      </c>
      <c r="D48" s="66" t="str">
        <v>October</v>
      </c>
      <c r="E48" s="63">
        <v>31</v>
      </c>
      <c r="F48" s="73" t="str">
        <f ca="1"/>
        <v/>
      </c>
      <c r="K48" s="61"/>
    </row>
    <row r="49" spans="1:11" ht="17" customHeight="1" x14ac:dyDescent="0.2">
      <c r="A49" s="61">
        <v>45968</v>
      </c>
      <c r="C49" s="62" t="str">
        <f ca="1"/>
        <v>Jour semaine</v>
      </c>
      <c r="D49" s="66" t="str">
        <v>November</v>
      </c>
      <c r="E49" s="63">
        <v>7</v>
      </c>
      <c r="F49" s="73" t="str">
        <f ca="1"/>
        <v/>
      </c>
      <c r="K49" s="61"/>
    </row>
    <row r="50" spans="1:11" ht="17" customHeight="1" x14ac:dyDescent="0.2">
      <c r="A50" s="61">
        <v>45975</v>
      </c>
      <c r="C50" s="62" t="str">
        <f ca="1"/>
        <v>Jour semaine</v>
      </c>
      <c r="D50" s="66" t="str">
        <v>November</v>
      </c>
      <c r="E50" s="63">
        <v>14</v>
      </c>
      <c r="F50" s="73" t="str">
        <f ca="1"/>
        <v/>
      </c>
      <c r="K50" s="61"/>
    </row>
    <row r="51" spans="1:11" ht="17" customHeight="1" x14ac:dyDescent="0.2">
      <c r="A51" s="61">
        <v>45982</v>
      </c>
      <c r="C51" s="62" t="str">
        <f ca="1"/>
        <v>Jour semaine</v>
      </c>
      <c r="D51" s="66" t="str">
        <v>November</v>
      </c>
      <c r="E51" s="63">
        <v>21</v>
      </c>
      <c r="F51" s="73" t="str">
        <f ca="1"/>
        <v/>
      </c>
      <c r="K51" s="61"/>
    </row>
    <row r="52" spans="1:11" ht="17" customHeight="1" x14ac:dyDescent="0.2">
      <c r="A52" s="61">
        <v>45989</v>
      </c>
      <c r="C52" s="62" t="str">
        <f ca="1"/>
        <v>Jour semaine</v>
      </c>
      <c r="D52" s="66" t="str">
        <v>November</v>
      </c>
      <c r="E52" s="63">
        <v>28</v>
      </c>
      <c r="F52" s="73" t="str">
        <f ca="1"/>
        <v/>
      </c>
      <c r="K52" s="61"/>
    </row>
    <row r="53" spans="1:11" ht="17" customHeight="1" x14ac:dyDescent="0.2">
      <c r="A53" s="61">
        <v>45996</v>
      </c>
      <c r="C53" s="62" t="str">
        <f ca="1"/>
        <v>Jour semaine</v>
      </c>
      <c r="D53" s="66" t="str">
        <v>December</v>
      </c>
      <c r="E53" s="63">
        <v>5</v>
      </c>
      <c r="F53" s="73" t="str">
        <f ca="1"/>
        <v/>
      </c>
      <c r="K53" s="61"/>
    </row>
    <row r="54" spans="1:11" ht="17" customHeight="1" x14ac:dyDescent="0.2">
      <c r="A54" s="61">
        <v>46003</v>
      </c>
      <c r="C54" s="62" t="str">
        <f ca="1"/>
        <v>Jour semaine</v>
      </c>
      <c r="D54" s="66" t="str">
        <v>December</v>
      </c>
      <c r="E54" s="63">
        <v>12</v>
      </c>
      <c r="F54" s="73" t="str">
        <f ca="1"/>
        <v/>
      </c>
      <c r="K54" s="61"/>
    </row>
    <row r="55" spans="1:11" ht="17" customHeight="1" x14ac:dyDescent="0.2">
      <c r="A55" s="61">
        <v>46010</v>
      </c>
      <c r="C55" s="62" t="str">
        <f ca="1"/>
        <v>Jour semaine</v>
      </c>
      <c r="D55" s="66" t="str">
        <v>December</v>
      </c>
      <c r="E55" s="63">
        <v>19</v>
      </c>
      <c r="F55" s="73" t="str">
        <f ca="1"/>
        <v/>
      </c>
      <c r="K55" s="61"/>
    </row>
    <row r="56" spans="1:11" ht="17" customHeight="1" x14ac:dyDescent="0.2">
      <c r="A56" s="61">
        <v>46017</v>
      </c>
      <c r="C56" s="62" t="str">
        <f ca="1"/>
        <v>Jour semaine vacation hiver</v>
      </c>
      <c r="D56" s="66" t="str">
        <v>December</v>
      </c>
      <c r="E56" s="63">
        <v>26</v>
      </c>
      <c r="F56" s="73" t="str">
        <f ca="1"/>
        <v>VACATION HIVER</v>
      </c>
      <c r="K56" s="61"/>
    </row>
    <row r="57" spans="1:11" ht="17" customHeight="1" x14ac:dyDescent="0.2">
      <c r="A57" s="61">
        <v>46024</v>
      </c>
      <c r="C57" s="62" t="str">
        <f ca="1"/>
        <v>Jour semaine vacation hiver</v>
      </c>
      <c r="D57" s="66" t="str">
        <v>January</v>
      </c>
      <c r="E57" s="63">
        <v>2</v>
      </c>
      <c r="F57" s="73" t="str">
        <f ca="1"/>
        <v>VACATION HIVER</v>
      </c>
      <c r="K57" s="61"/>
    </row>
    <row r="58" spans="1:11" ht="17" customHeight="1" x14ac:dyDescent="0.2">
      <c r="A58" s="61">
        <v>46031</v>
      </c>
      <c r="C58" s="62" t="str">
        <f ca="1"/>
        <v>Jour semaine</v>
      </c>
      <c r="D58" s="66" t="str">
        <v>January</v>
      </c>
      <c r="E58" s="63">
        <v>9</v>
      </c>
      <c r="F58" s="73" t="str">
        <f ca="1"/>
        <v/>
      </c>
      <c r="K58" s="61"/>
    </row>
    <row r="59" spans="1:11" ht="17" customHeight="1" x14ac:dyDescent="0.2">
      <c r="A59" s="61">
        <v>46038</v>
      </c>
      <c r="C59" s="62" t="str">
        <f ca="1"/>
        <v>Jour semaine</v>
      </c>
      <c r="D59" s="66" t="str">
        <v>January</v>
      </c>
      <c r="E59" s="63">
        <v>16</v>
      </c>
      <c r="F59" s="73" t="str">
        <f ca="1"/>
        <v/>
      </c>
      <c r="K59" s="61"/>
    </row>
    <row r="60" spans="1:11" ht="17" customHeight="1" x14ac:dyDescent="0.2">
      <c r="A60" s="61">
        <v>46045</v>
      </c>
      <c r="C60" s="62" t="str">
        <f ca="1"/>
        <v>Jour semaine</v>
      </c>
      <c r="D60" s="66" t="str">
        <v>January</v>
      </c>
      <c r="E60" s="63">
        <v>23</v>
      </c>
      <c r="F60" s="73" t="str">
        <f ca="1"/>
        <v/>
      </c>
      <c r="K60" s="61"/>
    </row>
    <row r="61" spans="1:11" ht="17" customHeight="1" x14ac:dyDescent="0.2">
      <c r="A61" s="61">
        <v>46052</v>
      </c>
      <c r="C61" s="62" t="str">
        <f ca="1"/>
        <v>Jour semaine</v>
      </c>
      <c r="D61" s="66" t="str">
        <v>January</v>
      </c>
      <c r="E61" s="63">
        <v>30</v>
      </c>
      <c r="F61" s="73" t="str">
        <f ca="1"/>
        <v/>
      </c>
      <c r="K61" s="61"/>
    </row>
    <row r="62" spans="1:11" ht="17" customHeight="1" x14ac:dyDescent="0.2">
      <c r="D62" s="66"/>
      <c r="F62" s="73"/>
      <c r="K62" s="61"/>
    </row>
    <row r="63" spans="1:11" ht="17" customHeight="1" x14ac:dyDescent="0.2">
      <c r="D63" s="66"/>
      <c r="F63" s="73"/>
      <c r="K63" s="61"/>
    </row>
    <row r="64" spans="1:11" ht="17" customHeight="1" x14ac:dyDescent="0.2">
      <c r="D64" s="66"/>
      <c r="F64" s="73"/>
      <c r="K64" s="61"/>
    </row>
    <row r="65" spans="4:13" ht="17" customHeight="1" x14ac:dyDescent="0.2">
      <c r="D65" s="66"/>
      <c r="F65" s="73"/>
      <c r="K65" s="61"/>
    </row>
    <row r="66" spans="4:13" ht="17" customHeight="1" x14ac:dyDescent="0.2">
      <c r="D66" s="66"/>
      <c r="F66" s="73"/>
      <c r="K66" s="61"/>
      <c r="M66" s="61"/>
    </row>
    <row r="67" spans="4:13" ht="17" customHeight="1" x14ac:dyDescent="0.2">
      <c r="D67" s="66"/>
      <c r="F67" s="73"/>
      <c r="K67" s="61"/>
    </row>
    <row r="68" spans="4:13" ht="17" customHeight="1" x14ac:dyDescent="0.2">
      <c r="D68" s="66"/>
      <c r="F68" s="73"/>
      <c r="K68" s="61"/>
    </row>
    <row r="69" spans="4:13" ht="17" customHeight="1" x14ac:dyDescent="0.2">
      <c r="D69" s="66"/>
      <c r="F69" s="73"/>
    </row>
    <row r="70" spans="4:13" ht="17" customHeight="1" x14ac:dyDescent="0.2">
      <c r="D70" s="66"/>
      <c r="F70" s="73"/>
    </row>
    <row r="71" spans="4:13" ht="17" customHeight="1" x14ac:dyDescent="0.2">
      <c r="D71" s="66"/>
      <c r="F71" s="73"/>
    </row>
    <row r="72" spans="4:13" ht="17" customHeight="1" x14ac:dyDescent="0.2">
      <c r="D72" s="66"/>
      <c r="F72" s="73"/>
    </row>
    <row r="73" spans="4:13" ht="17" customHeight="1" x14ac:dyDescent="0.2">
      <c r="D73" s="66"/>
      <c r="F73" s="73"/>
    </row>
    <row r="74" spans="4:13" ht="17" customHeight="1" x14ac:dyDescent="0.2">
      <c r="D74" s="66"/>
      <c r="F74" s="73"/>
    </row>
    <row r="75" spans="4:13" ht="17" customHeight="1" x14ac:dyDescent="0.2">
      <c r="D75" s="66"/>
      <c r="F75" s="73"/>
    </row>
    <row r="76" spans="4:13" ht="17" customHeight="1" x14ac:dyDescent="0.2">
      <c r="D76" s="66"/>
      <c r="F76" s="73"/>
    </row>
    <row r="77" spans="4:13" ht="17" customHeight="1" x14ac:dyDescent="0.2">
      <c r="D77" s="66"/>
      <c r="F77" s="73"/>
    </row>
    <row r="78" spans="4:13" ht="17" customHeight="1" x14ac:dyDescent="0.2">
      <c r="D78" s="66"/>
      <c r="F78" s="73"/>
    </row>
    <row r="79" spans="4:13" ht="17" customHeight="1" x14ac:dyDescent="0.2">
      <c r="D79" s="66"/>
      <c r="F79" s="73"/>
    </row>
    <row r="80" spans="4:13" ht="17" customHeight="1" x14ac:dyDescent="0.2">
      <c r="D80" s="66"/>
      <c r="F80" s="73"/>
    </row>
    <row r="81" spans="4:6" ht="17" customHeight="1" x14ac:dyDescent="0.2">
      <c r="D81" s="66"/>
      <c r="F81" s="73"/>
    </row>
    <row r="82" spans="4:6" ht="17" customHeight="1" x14ac:dyDescent="0.2">
      <c r="D82" s="66"/>
      <c r="F82" s="73"/>
    </row>
    <row r="83" spans="4:6" ht="17" customHeight="1" x14ac:dyDescent="0.2">
      <c r="D83" s="66"/>
      <c r="F83" s="73"/>
    </row>
    <row r="84" spans="4:6" ht="17" customHeight="1" x14ac:dyDescent="0.2">
      <c r="D84" s="66"/>
      <c r="F84" s="73"/>
    </row>
    <row r="85" spans="4:6" ht="17" customHeight="1" x14ac:dyDescent="0.2">
      <c r="D85" s="66"/>
      <c r="F85" s="73"/>
    </row>
    <row r="86" spans="4:6" ht="17" customHeight="1" x14ac:dyDescent="0.2">
      <c r="D86" s="66"/>
      <c r="F86" s="73"/>
    </row>
    <row r="87" spans="4:6" ht="17" customHeight="1" x14ac:dyDescent="0.2">
      <c r="D87" s="66"/>
      <c r="F87" s="73"/>
    </row>
    <row r="88" spans="4:6" ht="17" customHeight="1" x14ac:dyDescent="0.2">
      <c r="D88" s="66"/>
      <c r="F88" s="73"/>
    </row>
    <row r="89" spans="4:6" ht="17" customHeight="1" x14ac:dyDescent="0.2">
      <c r="D89" s="66"/>
      <c r="F89" s="73"/>
    </row>
    <row r="90" spans="4:6" ht="17" customHeight="1" x14ac:dyDescent="0.2">
      <c r="D90" s="66"/>
      <c r="F90" s="73"/>
    </row>
    <row r="91" spans="4:6" ht="17" customHeight="1" x14ac:dyDescent="0.2">
      <c r="D91" s="66"/>
      <c r="F91" s="73"/>
    </row>
    <row r="92" spans="4:6" ht="17" customHeight="1" x14ac:dyDescent="0.2">
      <c r="D92" s="66"/>
      <c r="F92" s="73"/>
    </row>
    <row r="93" spans="4:6" ht="17" customHeight="1" x14ac:dyDescent="0.2">
      <c r="D93" s="66"/>
      <c r="F93" s="73"/>
    </row>
    <row r="94" spans="4:6" ht="17" customHeight="1" x14ac:dyDescent="0.2">
      <c r="D94" s="66"/>
      <c r="F94" s="73"/>
    </row>
    <row r="95" spans="4:6" ht="17" customHeight="1" x14ac:dyDescent="0.2">
      <c r="D95" s="66"/>
      <c r="F95" s="73"/>
    </row>
    <row r="96" spans="4:6" ht="17" customHeight="1" x14ac:dyDescent="0.2">
      <c r="D96" s="66"/>
      <c r="F96" s="73"/>
    </row>
    <row r="97" spans="4:6" ht="17" customHeight="1" x14ac:dyDescent="0.2">
      <c r="D97" s="66"/>
      <c r="F97" s="73"/>
    </row>
    <row r="98" spans="4:6" ht="17" customHeight="1" x14ac:dyDescent="0.2">
      <c r="D98" s="66"/>
      <c r="F98" s="73"/>
    </row>
    <row r="99" spans="4:6" ht="17" customHeight="1" x14ac:dyDescent="0.2">
      <c r="D99" s="66"/>
      <c r="F99" s="73"/>
    </row>
    <row r="100" spans="4:6" ht="17" customHeight="1" x14ac:dyDescent="0.2">
      <c r="D100" s="66"/>
      <c r="F100" s="73"/>
    </row>
    <row r="101" spans="4:6" ht="17" customHeight="1" x14ac:dyDescent="0.2">
      <c r="D101" s="66"/>
      <c r="F101" s="73"/>
    </row>
    <row r="102" spans="4:6" ht="17" customHeight="1" x14ac:dyDescent="0.2">
      <c r="D102" s="66"/>
      <c r="F102" s="73"/>
    </row>
    <row r="103" spans="4:6" ht="17" customHeight="1" x14ac:dyDescent="0.2">
      <c r="D103" s="66"/>
      <c r="F103" s="73"/>
    </row>
    <row r="104" spans="4:6" ht="17" customHeight="1" x14ac:dyDescent="0.2">
      <c r="D104" s="66"/>
      <c r="F104" s="73"/>
    </row>
    <row r="105" spans="4:6" ht="17" customHeight="1" x14ac:dyDescent="0.2">
      <c r="D105" s="66"/>
      <c r="F105" s="73"/>
    </row>
    <row r="106" spans="4:6" ht="17" customHeight="1" x14ac:dyDescent="0.2">
      <c r="D106" s="66"/>
      <c r="F106" s="73"/>
    </row>
    <row r="107" spans="4:6" ht="17" customHeight="1" x14ac:dyDescent="0.2">
      <c r="D107" s="66"/>
      <c r="F107" s="73"/>
    </row>
    <row r="108" spans="4:6" ht="17" customHeight="1" x14ac:dyDescent="0.2">
      <c r="D108" s="66"/>
      <c r="F108" s="73"/>
    </row>
    <row r="109" spans="4:6" ht="17" customHeight="1" x14ac:dyDescent="0.2">
      <c r="D109" s="66"/>
      <c r="F109" s="73"/>
    </row>
    <row r="110" spans="4:6" ht="17" customHeight="1" x14ac:dyDescent="0.2">
      <c r="D110" s="66"/>
      <c r="F110" s="73"/>
    </row>
    <row r="111" spans="4:6" ht="17" customHeight="1" x14ac:dyDescent="0.2">
      <c r="D111" s="66"/>
      <c r="F111" s="73"/>
    </row>
    <row r="112" spans="4:6" ht="17" customHeight="1" x14ac:dyDescent="0.2">
      <c r="D112" s="66"/>
      <c r="F112" s="73"/>
    </row>
    <row r="113" spans="4:6" ht="17" customHeight="1" x14ac:dyDescent="0.2">
      <c r="D113" s="66"/>
      <c r="F113" s="73"/>
    </row>
    <row r="114" spans="4:6" ht="17" customHeight="1" x14ac:dyDescent="0.2">
      <c r="D114" s="66"/>
      <c r="F114" s="73"/>
    </row>
    <row r="115" spans="4:6" ht="17" customHeight="1" x14ac:dyDescent="0.2">
      <c r="D115" s="66"/>
      <c r="F115" s="73"/>
    </row>
    <row r="116" spans="4:6" ht="17" customHeight="1" x14ac:dyDescent="0.2">
      <c r="D116" s="66"/>
      <c r="F116" s="73"/>
    </row>
    <row r="117" spans="4:6" ht="17" customHeight="1" x14ac:dyDescent="0.2">
      <c r="D117" s="66"/>
      <c r="F117" s="73"/>
    </row>
    <row r="118" spans="4:6" ht="17" customHeight="1" x14ac:dyDescent="0.2">
      <c r="D118" s="66"/>
      <c r="F118" s="73"/>
    </row>
    <row r="119" spans="4:6" ht="17" customHeight="1" x14ac:dyDescent="0.2">
      <c r="D119" s="66"/>
      <c r="F119" s="73"/>
    </row>
    <row r="120" spans="4:6" ht="17" customHeight="1" x14ac:dyDescent="0.2">
      <c r="D120" s="66"/>
      <c r="F120" s="73"/>
    </row>
    <row r="121" spans="4:6" ht="17" customHeight="1" x14ac:dyDescent="0.2">
      <c r="D121" s="66"/>
      <c r="F121" s="73"/>
    </row>
    <row r="122" spans="4:6" ht="17" customHeight="1" x14ac:dyDescent="0.2">
      <c r="D122" s="66"/>
      <c r="F122" s="73"/>
    </row>
    <row r="123" spans="4:6" ht="17" customHeight="1" x14ac:dyDescent="0.2">
      <c r="D123" s="66"/>
    </row>
    <row r="124" spans="4:6" ht="17" customHeight="1" x14ac:dyDescent="0.2">
      <c r="D124" s="66"/>
    </row>
    <row r="125" spans="4:6" ht="17" customHeight="1" x14ac:dyDescent="0.2">
      <c r="D125" s="66"/>
    </row>
    <row r="126" spans="4:6" ht="17" customHeight="1" x14ac:dyDescent="0.2">
      <c r="D126" s="66"/>
    </row>
    <row r="127" spans="4:6" ht="17" customHeight="1" x14ac:dyDescent="0.2">
      <c r="D127" s="66"/>
    </row>
    <row r="128" spans="4:6" ht="17" customHeight="1" x14ac:dyDescent="0.2">
      <c r="D128" s="66"/>
    </row>
    <row r="129" spans="4:4" ht="17" customHeight="1" x14ac:dyDescent="0.2">
      <c r="D129" s="66"/>
    </row>
    <row r="130" spans="4:4" ht="17" customHeight="1" x14ac:dyDescent="0.2">
      <c r="D130" s="66"/>
    </row>
    <row r="131" spans="4:4" ht="17" customHeight="1" x14ac:dyDescent="0.2">
      <c r="D131" s="66"/>
    </row>
    <row r="132" spans="4:4" ht="17" customHeight="1" x14ac:dyDescent="0.2">
      <c r="D132" s="66"/>
    </row>
    <row r="133" spans="4:4" ht="17" customHeight="1" x14ac:dyDescent="0.2">
      <c r="D133" s="66"/>
    </row>
    <row r="134" spans="4:4" ht="17" customHeight="1" x14ac:dyDescent="0.2">
      <c r="D134" s="66"/>
    </row>
    <row r="135" spans="4:4" ht="17" customHeight="1" x14ac:dyDescent="0.2">
      <c r="D135" s="66"/>
    </row>
    <row r="136" spans="4:4" ht="17" customHeight="1" x14ac:dyDescent="0.2">
      <c r="D136" s="66"/>
    </row>
    <row r="137" spans="4:4" ht="17" customHeight="1" x14ac:dyDescent="0.2">
      <c r="D137" s="66"/>
    </row>
    <row r="138" spans="4:4" ht="17" customHeight="1" x14ac:dyDescent="0.2">
      <c r="D138" s="66"/>
    </row>
    <row r="139" spans="4:4" ht="17" customHeight="1" x14ac:dyDescent="0.2">
      <c r="D139" s="66"/>
    </row>
    <row r="140" spans="4:4" ht="17" customHeight="1" x14ac:dyDescent="0.2">
      <c r="D140" s="66"/>
    </row>
    <row r="141" spans="4:4" ht="17" customHeight="1" x14ac:dyDescent="0.2">
      <c r="D141" s="66"/>
    </row>
    <row r="142" spans="4:4" ht="17" customHeight="1" x14ac:dyDescent="0.2">
      <c r="D142" s="66"/>
    </row>
    <row r="143" spans="4:4" ht="17" customHeight="1" x14ac:dyDescent="0.2">
      <c r="D143" s="66"/>
    </row>
    <row r="144" spans="4:4" ht="17" customHeight="1" x14ac:dyDescent="0.2">
      <c r="D144" s="66"/>
    </row>
    <row r="145" spans="4:4" ht="17" customHeight="1" x14ac:dyDescent="0.2">
      <c r="D145" s="66"/>
    </row>
    <row r="146" spans="4:4" ht="17" customHeight="1" x14ac:dyDescent="0.2">
      <c r="D146" s="66"/>
    </row>
    <row r="147" spans="4:4" ht="17" customHeight="1" x14ac:dyDescent="0.2">
      <c r="D147" s="66"/>
    </row>
    <row r="148" spans="4:4" ht="17" customHeight="1" x14ac:dyDescent="0.2">
      <c r="D148" s="66"/>
    </row>
    <row r="149" spans="4:4" ht="17" customHeight="1" x14ac:dyDescent="0.2">
      <c r="D149" s="66"/>
    </row>
    <row r="150" spans="4:4" ht="17" customHeight="1" x14ac:dyDescent="0.2">
      <c r="D150" s="66"/>
    </row>
    <row r="151" spans="4:4" ht="17" customHeight="1" x14ac:dyDescent="0.2">
      <c r="D151" s="66"/>
    </row>
    <row r="152" spans="4:4" ht="17" customHeight="1" x14ac:dyDescent="0.2">
      <c r="D152" s="66"/>
    </row>
    <row r="153" spans="4:4" ht="17" customHeight="1" x14ac:dyDescent="0.2">
      <c r="D153" s="66"/>
    </row>
    <row r="154" spans="4:4" ht="17" customHeight="1" x14ac:dyDescent="0.2">
      <c r="D154" s="66"/>
    </row>
    <row r="155" spans="4:4" ht="17" customHeight="1" x14ac:dyDescent="0.2">
      <c r="D155" s="66"/>
    </row>
    <row r="156" spans="4:4" ht="17" customHeight="1" x14ac:dyDescent="0.2">
      <c r="D156" s="66"/>
    </row>
    <row r="157" spans="4:4" ht="17" customHeight="1" x14ac:dyDescent="0.2">
      <c r="D157" s="66"/>
    </row>
    <row r="158" spans="4:4" ht="17" customHeight="1" x14ac:dyDescent="0.2">
      <c r="D158" s="66"/>
    </row>
    <row r="159" spans="4:4" ht="17" customHeight="1" x14ac:dyDescent="0.2">
      <c r="D159" s="66"/>
    </row>
    <row r="160" spans="4:4" ht="17" customHeight="1" x14ac:dyDescent="0.2">
      <c r="D160" s="66"/>
    </row>
    <row r="161" spans="4:4" ht="17" customHeight="1" x14ac:dyDescent="0.2">
      <c r="D161" s="66"/>
    </row>
    <row r="162" spans="4:4" ht="17" customHeight="1" x14ac:dyDescent="0.2">
      <c r="D162" s="66"/>
    </row>
    <row r="163" spans="4:4" ht="17" customHeight="1" x14ac:dyDescent="0.2">
      <c r="D163" s="66"/>
    </row>
    <row r="164" spans="4:4" ht="17" customHeight="1" x14ac:dyDescent="0.2">
      <c r="D164" s="66"/>
    </row>
    <row r="165" spans="4:4" ht="17" customHeight="1" x14ac:dyDescent="0.2">
      <c r="D165" s="66"/>
    </row>
    <row r="166" spans="4:4" ht="17" customHeight="1" x14ac:dyDescent="0.2">
      <c r="D166" s="66"/>
    </row>
    <row r="167" spans="4:4" ht="17" customHeight="1" x14ac:dyDescent="0.2">
      <c r="D167" s="66"/>
    </row>
    <row r="168" spans="4:4" ht="17" customHeight="1" x14ac:dyDescent="0.2">
      <c r="D168" s="66"/>
    </row>
    <row r="169" spans="4:4" ht="17" customHeight="1" x14ac:dyDescent="0.2">
      <c r="D169" s="66"/>
    </row>
    <row r="170" spans="4:4" ht="17" customHeight="1" x14ac:dyDescent="0.2">
      <c r="D170" s="66"/>
    </row>
    <row r="171" spans="4:4" ht="17" customHeight="1" x14ac:dyDescent="0.2">
      <c r="D171" s="66"/>
    </row>
    <row r="172" spans="4:4" ht="17" customHeight="1" x14ac:dyDescent="0.2">
      <c r="D172" s="66"/>
    </row>
    <row r="173" spans="4:4" ht="17" customHeight="1" x14ac:dyDescent="0.2">
      <c r="D173" s="66"/>
    </row>
    <row r="174" spans="4:4" ht="17" customHeight="1" x14ac:dyDescent="0.2">
      <c r="D174" s="66"/>
    </row>
    <row r="175" spans="4:4" ht="17" customHeight="1" x14ac:dyDescent="0.2">
      <c r="D175" s="66"/>
    </row>
    <row r="176" spans="4:4" ht="17" customHeight="1" x14ac:dyDescent="0.2">
      <c r="D176" s="66"/>
    </row>
    <row r="177" spans="4:4" ht="17" customHeight="1" x14ac:dyDescent="0.2">
      <c r="D177" s="66"/>
    </row>
    <row r="178" spans="4:4" ht="17" customHeight="1" x14ac:dyDescent="0.2">
      <c r="D178" s="66"/>
    </row>
    <row r="179" spans="4:4" ht="17" customHeight="1" x14ac:dyDescent="0.2">
      <c r="D179" s="66"/>
    </row>
    <row r="180" spans="4:4" ht="17" customHeight="1" x14ac:dyDescent="0.2">
      <c r="D180" s="66"/>
    </row>
    <row r="181" spans="4:4" ht="17" customHeight="1" x14ac:dyDescent="0.2">
      <c r="D181" s="66"/>
    </row>
    <row r="182" spans="4:4" ht="17" customHeight="1" x14ac:dyDescent="0.2">
      <c r="D182" s="66"/>
    </row>
    <row r="183" spans="4:4" ht="17" customHeight="1" x14ac:dyDescent="0.2">
      <c r="D183" s="66"/>
    </row>
    <row r="184" spans="4:4" ht="17" customHeight="1" x14ac:dyDescent="0.2">
      <c r="D184" s="66"/>
    </row>
    <row r="185" spans="4:4" ht="17" customHeight="1" x14ac:dyDescent="0.2">
      <c r="D185" s="66"/>
    </row>
    <row r="186" spans="4:4" ht="17" customHeight="1" x14ac:dyDescent="0.2">
      <c r="D186" s="66"/>
    </row>
    <row r="187" spans="4:4" ht="17" customHeight="1" x14ac:dyDescent="0.2">
      <c r="D187" s="66"/>
    </row>
    <row r="188" spans="4:4" ht="17" customHeight="1" x14ac:dyDescent="0.2">
      <c r="D188" s="66"/>
    </row>
    <row r="189" spans="4:4" ht="17" customHeight="1" x14ac:dyDescent="0.2">
      <c r="D189" s="66"/>
    </row>
    <row r="190" spans="4:4" ht="17" customHeight="1" x14ac:dyDescent="0.2">
      <c r="D190" s="66"/>
    </row>
    <row r="191" spans="4:4" ht="17" customHeight="1" x14ac:dyDescent="0.2">
      <c r="D191" s="66"/>
    </row>
    <row r="192" spans="4:4" ht="17" customHeight="1" x14ac:dyDescent="0.2">
      <c r="D192" s="66"/>
    </row>
    <row r="193" spans="4:4" ht="17" customHeight="1" x14ac:dyDescent="0.2">
      <c r="D193" s="66"/>
    </row>
    <row r="194" spans="4:4" ht="17" customHeight="1" x14ac:dyDescent="0.2">
      <c r="D194" s="66"/>
    </row>
    <row r="195" spans="4:4" ht="17" customHeight="1" x14ac:dyDescent="0.2">
      <c r="D195" s="66"/>
    </row>
    <row r="196" spans="4:4" ht="17" customHeight="1" x14ac:dyDescent="0.2">
      <c r="D196" s="66"/>
    </row>
    <row r="197" spans="4:4" ht="17" customHeight="1" x14ac:dyDescent="0.2">
      <c r="D197" s="66"/>
    </row>
    <row r="198" spans="4:4" ht="17" customHeight="1" x14ac:dyDescent="0.2">
      <c r="D198" s="66"/>
    </row>
    <row r="199" spans="4:4" ht="17" customHeight="1" x14ac:dyDescent="0.2">
      <c r="D199" s="66"/>
    </row>
    <row r="200" spans="4:4" ht="17" customHeight="1" x14ac:dyDescent="0.2">
      <c r="D200" s="66"/>
    </row>
    <row r="201" spans="4:4" ht="17" customHeight="1" x14ac:dyDescent="0.2">
      <c r="D201" s="66"/>
    </row>
    <row r="202" spans="4:4" ht="17" customHeight="1" x14ac:dyDescent="0.2">
      <c r="D202" s="66"/>
    </row>
    <row r="203" spans="4:4" ht="17" customHeight="1" x14ac:dyDescent="0.2">
      <c r="D203" s="66"/>
    </row>
    <row r="204" spans="4:4" ht="17" customHeight="1" x14ac:dyDescent="0.2">
      <c r="D204" s="66"/>
    </row>
    <row r="205" spans="4:4" ht="17" customHeight="1" x14ac:dyDescent="0.2">
      <c r="D205" s="66"/>
    </row>
    <row r="206" spans="4:4" ht="17" customHeight="1" x14ac:dyDescent="0.2">
      <c r="D206" s="66"/>
    </row>
    <row r="207" spans="4:4" ht="17" customHeight="1" x14ac:dyDescent="0.2">
      <c r="D207" s="66"/>
    </row>
    <row r="208" spans="4:4" ht="17" customHeight="1" x14ac:dyDescent="0.2">
      <c r="D208" s="66"/>
    </row>
    <row r="209" spans="4:4" ht="17" customHeight="1" x14ac:dyDescent="0.2">
      <c r="D209" s="66"/>
    </row>
    <row r="210" spans="4:4" ht="17" customHeight="1" x14ac:dyDescent="0.2">
      <c r="D210" s="66"/>
    </row>
    <row r="211" spans="4:4" ht="17" customHeight="1" x14ac:dyDescent="0.2">
      <c r="D211" s="66"/>
    </row>
    <row r="212" spans="4:4" ht="17" customHeight="1" x14ac:dyDescent="0.2">
      <c r="D212" s="66"/>
    </row>
    <row r="213" spans="4:4" ht="17" customHeight="1" x14ac:dyDescent="0.2">
      <c r="D213" s="66"/>
    </row>
    <row r="214" spans="4:4" ht="17" customHeight="1" x14ac:dyDescent="0.2">
      <c r="D214" s="66"/>
    </row>
    <row r="215" spans="4:4" ht="17" customHeight="1" x14ac:dyDescent="0.2">
      <c r="D215" s="66"/>
    </row>
    <row r="216" spans="4:4" ht="17" customHeight="1" x14ac:dyDescent="0.2">
      <c r="D216" s="66"/>
    </row>
    <row r="217" spans="4:4" ht="17" customHeight="1" x14ac:dyDescent="0.2">
      <c r="D217" s="66"/>
    </row>
    <row r="218" spans="4:4" ht="17" customHeight="1" x14ac:dyDescent="0.2">
      <c r="D218" s="66"/>
    </row>
    <row r="219" spans="4:4" ht="17" customHeight="1" x14ac:dyDescent="0.2">
      <c r="D219" s="66"/>
    </row>
    <row r="220" spans="4:4" ht="17" customHeight="1" x14ac:dyDescent="0.2">
      <c r="D220" s="66"/>
    </row>
    <row r="221" spans="4:4" ht="17" customHeight="1" x14ac:dyDescent="0.2">
      <c r="D221" s="66"/>
    </row>
    <row r="222" spans="4:4" ht="17" customHeight="1" x14ac:dyDescent="0.2">
      <c r="D222" s="66"/>
    </row>
    <row r="223" spans="4:4" ht="17" customHeight="1" x14ac:dyDescent="0.2">
      <c r="D223" s="66"/>
    </row>
    <row r="224" spans="4:4" ht="17" customHeight="1" x14ac:dyDescent="0.2">
      <c r="D224" s="66"/>
    </row>
    <row r="225" spans="4:4" ht="17" customHeight="1" x14ac:dyDescent="0.2">
      <c r="D225" s="66"/>
    </row>
    <row r="226" spans="4:4" ht="17" customHeight="1" x14ac:dyDescent="0.2">
      <c r="D226" s="66"/>
    </row>
    <row r="227" spans="4:4" ht="17" customHeight="1" x14ac:dyDescent="0.2">
      <c r="D227" s="66"/>
    </row>
    <row r="228" spans="4:4" ht="17" customHeight="1" x14ac:dyDescent="0.2">
      <c r="D228" s="66"/>
    </row>
    <row r="229" spans="4:4" ht="17" customHeight="1" x14ac:dyDescent="0.2">
      <c r="D229" s="66"/>
    </row>
    <row r="230" spans="4:4" ht="17" customHeight="1" x14ac:dyDescent="0.2">
      <c r="D230" s="66"/>
    </row>
    <row r="231" spans="4:4" ht="17" customHeight="1" x14ac:dyDescent="0.2">
      <c r="D231" s="66"/>
    </row>
    <row r="232" spans="4:4" ht="17" customHeight="1" x14ac:dyDescent="0.2">
      <c r="D232" s="66"/>
    </row>
    <row r="233" spans="4:4" ht="17" customHeight="1" x14ac:dyDescent="0.2">
      <c r="D233" s="66"/>
    </row>
    <row r="234" spans="4:4" ht="17" customHeight="1" x14ac:dyDescent="0.2">
      <c r="D234" s="66"/>
    </row>
    <row r="235" spans="4:4" ht="17" customHeight="1" x14ac:dyDescent="0.2">
      <c r="D235" s="66"/>
    </row>
    <row r="236" spans="4:4" ht="17" customHeight="1" x14ac:dyDescent="0.2">
      <c r="D236" s="66"/>
    </row>
    <row r="237" spans="4:4" ht="17" customHeight="1" x14ac:dyDescent="0.2">
      <c r="D237" s="66"/>
    </row>
    <row r="238" spans="4:4" ht="17" customHeight="1" x14ac:dyDescent="0.2">
      <c r="D238" s="66"/>
    </row>
    <row r="239" spans="4:4" ht="17" customHeight="1" x14ac:dyDescent="0.2">
      <c r="D239" s="66"/>
    </row>
    <row r="240" spans="4:4" ht="17" customHeight="1" x14ac:dyDescent="0.2">
      <c r="D240" s="66"/>
    </row>
    <row r="241" spans="4:4" ht="17" customHeight="1" x14ac:dyDescent="0.2">
      <c r="D241" s="66"/>
    </row>
    <row r="242" spans="4:4" ht="17" customHeight="1" x14ac:dyDescent="0.2">
      <c r="D242" s="66"/>
    </row>
    <row r="243" spans="4:4" ht="17" customHeight="1" x14ac:dyDescent="0.2">
      <c r="D243" s="66"/>
    </row>
    <row r="244" spans="4:4" ht="17" customHeight="1" x14ac:dyDescent="0.2">
      <c r="D244" s="66"/>
    </row>
    <row r="245" spans="4:4" ht="17" customHeight="1" x14ac:dyDescent="0.2">
      <c r="D245" s="66"/>
    </row>
    <row r="246" spans="4:4" ht="17" customHeight="1" x14ac:dyDescent="0.2"/>
    <row r="247" spans="4:4" ht="17" customHeight="1" x14ac:dyDescent="0.2"/>
    <row r="248" spans="4:4" ht="17" customHeight="1" x14ac:dyDescent="0.2"/>
    <row r="249" spans="4:4" ht="17" customHeight="1" x14ac:dyDescent="0.2"/>
    <row r="250" spans="4:4" ht="17" customHeight="1" x14ac:dyDescent="0.2"/>
    <row r="251" spans="4:4" ht="17" customHeight="1" x14ac:dyDescent="0.2"/>
    <row r="252" spans="4:4" ht="17" customHeight="1" x14ac:dyDescent="0.2"/>
    <row r="253" spans="4:4" ht="17" customHeight="1" x14ac:dyDescent="0.2"/>
    <row r="254" spans="4:4" ht="17" customHeight="1" x14ac:dyDescent="0.2"/>
    <row r="255" spans="4:4" ht="17" customHeight="1" x14ac:dyDescent="0.2"/>
    <row r="256" spans="4:4" ht="17" customHeight="1" x14ac:dyDescent="0.2"/>
    <row r="257" ht="17" customHeight="1" x14ac:dyDescent="0.2"/>
    <row r="258" ht="17" customHeight="1" x14ac:dyDescent="0.2"/>
    <row r="259" ht="17" customHeight="1" x14ac:dyDescent="0.2"/>
    <row r="260" ht="17" customHeight="1" x14ac:dyDescent="0.2"/>
    <row r="261" ht="17" customHeight="1" x14ac:dyDescent="0.2"/>
    <row r="262" ht="17" customHeight="1" x14ac:dyDescent="0.2"/>
    <row r="263" ht="17" customHeight="1" x14ac:dyDescent="0.2"/>
    <row r="264" ht="17" customHeight="1" x14ac:dyDescent="0.2"/>
    <row r="265" ht="17" customHeight="1" x14ac:dyDescent="0.2"/>
    <row r="266" ht="17" customHeight="1" x14ac:dyDescent="0.2"/>
    <row r="267" ht="17" customHeight="1" x14ac:dyDescent="0.2"/>
    <row r="268" ht="17" customHeight="1" x14ac:dyDescent="0.2"/>
    <row r="269" ht="17" customHeight="1" x14ac:dyDescent="0.2"/>
  </sheetData>
  <mergeCells count="2">
    <mergeCell ref="K2:N2"/>
    <mergeCell ref="D7:Q7"/>
  </mergeCells>
  <conditionalFormatting sqref="G8:AZ8">
    <cfRule type="expression" dxfId="5" priority="5">
      <formula>AND(ISTEXT(G8), LEN(G8) &gt; 0)</formula>
    </cfRule>
  </conditionalFormatting>
  <conditionalFormatting sqref="D8:D10000">
    <cfRule type="expression" dxfId="4" priority="1" stopIfTrue="1">
      <formula>AND(ISTEXT(D8), LEN(D8) &gt; 0)</formula>
    </cfRule>
  </conditionalFormatting>
  <conditionalFormatting sqref="F9:F10000">
    <cfRule type="expression" dxfId="3" priority="7" stopIfTrue="1">
      <formula>AND(ISTEXT(F9), LEN(F9) &gt; 0)</formula>
    </cfRule>
  </conditionalFormatting>
  <conditionalFormatting sqref="E8:E10000">
    <cfRule type="expression" dxfId="2" priority="2">
      <formula>AND(ISNUMBER(E8), LEN(E8) &gt; 0)</formula>
    </cfRule>
  </conditionalFormatting>
  <conditionalFormatting sqref="A8:AG10000">
    <cfRule type="expression" dxfId="1" priority="8">
      <formula>AND(ISTEXT($D8), LEN($D8) &gt; 0,ISTEXT(D$8), NOT(A$8=""))</formula>
    </cfRule>
  </conditionalFormatting>
  <pageMargins left="0.23622047244094491" right="0.23622047244094491" top="0.74803149606299213" bottom="0.74803149606299213" header="0.31496062992125984" footer="0.31496062992125984"/>
  <pageSetup paperSize="9" scale="57" fitToHeight="0" orientation="portrait" r:id="rId1"/>
  <headerFooter>
    <oddHeader>&amp;L&amp;"Century Gothic,Gras"PLANNING AUDIENCES ANNEE JUDICIAIRE 2025&amp;R&amp;"Century Gothic,Gras"&amp;A</oddHeader>
    <oddFooter>&amp;R&amp;"Century Gothic,Gras"&amp;10Mis à jour le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_sheet">
                <anchor moveWithCells="1" sizeWithCells="1">
                  <from>
                    <xdr:col>18</xdr:col>
                    <xdr:colOff>431800</xdr:colOff>
                    <xdr:row>1</xdr:row>
                    <xdr:rowOff>127000</xdr:rowOff>
                  </from>
                  <to>
                    <xdr:col>21</xdr:col>
                    <xdr:colOff>266700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sheets">
                <anchor moveWithCells="1" sizeWithCells="1">
                  <from>
                    <xdr:col>18</xdr:col>
                    <xdr:colOff>393700</xdr:colOff>
                    <xdr:row>5</xdr:row>
                    <xdr:rowOff>139700</xdr:rowOff>
                  </from>
                  <to>
                    <xdr:col>21</xdr:col>
                    <xdr:colOff>228600</xdr:colOff>
                    <xdr:row>7</xdr:row>
                    <xdr:rowOff>444500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7E23021-57FB-A64F-8302-CD6A484E2C04}">
          <x14:formula1>
            <xm:f>'Data chambre'!$B$1:$O$1</xm:f>
          </x14:formula1>
          <xm:sqref>K2:N2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778E4-49DC-9844-A637-D39936A40E00}">
  <sheetPr codeName="Sheet2">
    <tabColor rgb="FFFF0000"/>
  </sheetPr>
  <dimension ref="A1:AC1869"/>
  <sheetViews>
    <sheetView zoomScale="55" zoomScaleNormal="55" workbookViewId="0">
      <selection activeCell="C7" sqref="C7"/>
    </sheetView>
  </sheetViews>
  <sheetFormatPr baseColWidth="10" defaultColWidth="10.83203125" defaultRowHeight="16" outlineLevelCol="2" x14ac:dyDescent="0.2"/>
  <cols>
    <col min="1" max="1" width="11.6640625" customWidth="1"/>
    <col min="2" max="2" width="13.6640625" bestFit="1" customWidth="1"/>
    <col min="3" max="3" width="31.5" bestFit="1" customWidth="1"/>
    <col min="4" max="4" width="14.6640625" customWidth="1" outlineLevel="1"/>
    <col min="5" max="5" width="19.33203125" customWidth="1" outlineLevel="1"/>
    <col min="6" max="6" width="15.6640625" customWidth="1" outlineLevel="1"/>
    <col min="7" max="7" width="20.1640625" customWidth="1" outlineLevel="1"/>
    <col min="8" max="8" width="18.33203125" customWidth="1" outlineLevel="1"/>
    <col min="9" max="9" width="19.5" hidden="1" customWidth="1" outlineLevel="2"/>
    <col min="10" max="10" width="23.6640625" hidden="1" customWidth="1" outlineLevel="2"/>
    <col min="11" max="11" width="28.33203125" hidden="1" customWidth="1" outlineLevel="2"/>
    <col min="12" max="12" width="24.1640625" customWidth="1" outlineLevel="1" collapsed="1"/>
    <col min="13" max="14" width="34.6640625" customWidth="1" outlineLevel="1"/>
    <col min="15" max="15" width="25.33203125" style="3" customWidth="1"/>
    <col min="16" max="16" width="18.5" bestFit="1" customWidth="1"/>
    <col min="17" max="17" width="11.6640625" bestFit="1" customWidth="1"/>
    <col min="18" max="18" width="10.1640625" style="92" bestFit="1" customWidth="1"/>
    <col min="19" max="19" width="13.1640625" bestFit="1" customWidth="1"/>
    <col min="20" max="21" width="11.6640625" style="1" bestFit="1" customWidth="1"/>
    <col min="22" max="22" width="11.6640625" style="1" customWidth="1"/>
    <col min="23" max="23" width="27.83203125" style="1" bestFit="1" customWidth="1"/>
    <col min="24" max="24" width="22" bestFit="1" customWidth="1"/>
    <col min="25" max="25" width="10.6640625" style="1" bestFit="1" customWidth="1"/>
    <col min="26" max="26" width="18" bestFit="1" customWidth="1"/>
    <col min="27" max="27" width="10.83203125" style="2"/>
    <col min="28" max="28" width="11.33203125" style="2" bestFit="1" customWidth="1"/>
    <col min="29" max="29" width="12" style="2" bestFit="1" customWidth="1"/>
    <col min="30" max="16384" width="10.83203125" style="2"/>
  </cols>
  <sheetData>
    <row r="1" spans="2:29" s="4" customFormat="1" x14ac:dyDescent="0.2">
      <c r="B1" s="5"/>
      <c r="O1" s="6"/>
      <c r="R1" s="90"/>
      <c r="Y1" s="5"/>
      <c r="AB1" s="5"/>
    </row>
    <row r="2" spans="2:29" s="4" customFormat="1" x14ac:dyDescent="0.2">
      <c r="B2" s="37" t="str">
        <f>Dates!B2</f>
        <v>Début</v>
      </c>
      <c r="C2" s="29">
        <f>Dates!C2</f>
        <v>45688</v>
      </c>
      <c r="G2" s="37" t="s">
        <v>115</v>
      </c>
      <c r="H2" s="6" cm="1">
        <f t="array" ref="H2:H6">INDEX(day_chambers,,$C$7)</f>
        <v>5</v>
      </c>
      <c r="L2" s="6" t="s">
        <v>125</v>
      </c>
      <c r="M2" s="6">
        <f>COUNTA('Data chambre'!1:1)</f>
        <v>13</v>
      </c>
      <c r="N2" s="6"/>
      <c r="O2" s="6"/>
      <c r="R2" s="90"/>
      <c r="S2" s="6" t="str">
        <f>B2</f>
        <v>Début</v>
      </c>
      <c r="T2" s="33">
        <f>Dates!C7</f>
        <v>46013</v>
      </c>
      <c r="U2" s="34">
        <f>Dates!D7</f>
        <v>45866</v>
      </c>
      <c r="Y2" s="5"/>
      <c r="Z2" s="5"/>
      <c r="AB2" s="5"/>
    </row>
    <row r="3" spans="2:29" s="4" customFormat="1" x14ac:dyDescent="0.2">
      <c r="B3" s="37" t="str">
        <f>Dates!B3</f>
        <v>Fin</v>
      </c>
      <c r="C3" s="29">
        <f>Dates!C3</f>
        <v>46053</v>
      </c>
      <c r="H3" s="6">
        <v>0</v>
      </c>
      <c r="O3" s="6"/>
      <c r="R3" s="90"/>
      <c r="S3" s="6" t="str">
        <f t="shared" ref="S3" si="0">B3</f>
        <v>Fin</v>
      </c>
      <c r="T3" s="35">
        <f>Dates!C8</f>
        <v>46025</v>
      </c>
      <c r="U3" s="36">
        <f>Dates!D8</f>
        <v>45905</v>
      </c>
      <c r="Y3" s="5"/>
      <c r="Z3" s="6"/>
      <c r="AB3" s="5"/>
    </row>
    <row r="4" spans="2:29" s="4" customFormat="1" x14ac:dyDescent="0.2">
      <c r="B4" s="37" t="s">
        <v>0</v>
      </c>
      <c r="C4" s="6">
        <f>YEAR(C2)</f>
        <v>2025</v>
      </c>
      <c r="H4" s="6">
        <v>0</v>
      </c>
      <c r="O4" s="6"/>
      <c r="R4" s="90"/>
      <c r="S4" s="6" t="str">
        <f>B5</f>
        <v>Nombre jours :</v>
      </c>
      <c r="T4" s="6">
        <f>U3-U2+1</f>
        <v>40</v>
      </c>
      <c r="U4" s="6">
        <f>T3-T2+1</f>
        <v>13</v>
      </c>
      <c r="Y4" s="5"/>
      <c r="Z4" s="6"/>
      <c r="AB4" s="5"/>
    </row>
    <row r="5" spans="2:29" s="4" customFormat="1" x14ac:dyDescent="0.2">
      <c r="B5" s="37" t="s">
        <v>10</v>
      </c>
      <c r="C5" s="6">
        <f>C3-C2+1</f>
        <v>366</v>
      </c>
      <c r="E5" s="4" t="s">
        <v>111</v>
      </c>
      <c r="F5" s="38">
        <f>C5+ROW(B10)</f>
        <v>376</v>
      </c>
      <c r="H5" s="6">
        <v>0</v>
      </c>
      <c r="O5" s="6"/>
      <c r="R5" s="90"/>
      <c r="Y5" s="5"/>
      <c r="AB5" s="5"/>
    </row>
    <row r="6" spans="2:29" s="4" customFormat="1" x14ac:dyDescent="0.2">
      <c r="B6" s="37" t="s">
        <v>95</v>
      </c>
      <c r="C6" s="32" t="str">
        <f>'Dynamic calendar'!K2</f>
        <v>ORIENTATION</v>
      </c>
      <c r="H6" s="6">
        <v>0</v>
      </c>
      <c r="R6" s="90"/>
      <c r="U6" s="9"/>
      <c r="V6" s="9"/>
      <c r="W6" s="9"/>
      <c r="Y6" s="5"/>
      <c r="AB6" s="5"/>
    </row>
    <row r="7" spans="2:29" s="4" customFormat="1" x14ac:dyDescent="0.2">
      <c r="B7" s="37" t="s">
        <v>114</v>
      </c>
      <c r="C7" s="6">
        <f>MATCH($C$6,'Data chambre'!$B$1:$O$1,0)</f>
        <v>12</v>
      </c>
      <c r="O7" s="6"/>
      <c r="R7" s="90"/>
      <c r="U7" s="9"/>
      <c r="V7" s="9"/>
      <c r="W7" s="9"/>
      <c r="Y7" s="5"/>
      <c r="AB7" s="5"/>
    </row>
    <row r="8" spans="2:29" s="4" customFormat="1" x14ac:dyDescent="0.2">
      <c r="B8" s="4" t="s">
        <v>124</v>
      </c>
      <c r="C8" s="6" t="str" cm="1">
        <f t="array" ref="C8">INDEX('Data chambre'!$B$2:$O$2,,C7)</f>
        <v>Orientation</v>
      </c>
      <c r="O8" s="6"/>
      <c r="R8" s="90"/>
      <c r="U8" s="9"/>
      <c r="V8" s="9"/>
      <c r="W8" s="9"/>
      <c r="Y8" s="5"/>
      <c r="AB8" s="5"/>
    </row>
    <row r="9" spans="2:29" s="4" customFormat="1" x14ac:dyDescent="0.2">
      <c r="B9" s="96" t="s">
        <v>12</v>
      </c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89"/>
      <c r="O9" s="6"/>
      <c r="P9" s="98" t="s">
        <v>11</v>
      </c>
      <c r="Q9" s="98"/>
      <c r="R9" s="98"/>
      <c r="T9" s="98" t="s">
        <v>15</v>
      </c>
      <c r="U9" s="98"/>
      <c r="V9" s="9"/>
      <c r="W9" s="98" t="s">
        <v>93</v>
      </c>
      <c r="X9" s="98"/>
      <c r="Y9" s="98"/>
      <c r="Z9" s="98"/>
      <c r="AB9" s="98" t="str">
        <f>Dates!K5</f>
        <v>Jours sans audience</v>
      </c>
      <c r="AC9" s="98"/>
    </row>
    <row r="10" spans="2:29" s="7" customFormat="1" ht="17" thickBot="1" x14ac:dyDescent="0.25">
      <c r="B10" s="28" t="s">
        <v>8</v>
      </c>
      <c r="C10" s="8" t="s">
        <v>9</v>
      </c>
      <c r="D10" s="8" t="s">
        <v>13</v>
      </c>
      <c r="E10" s="8" t="s">
        <v>105</v>
      </c>
      <c r="F10" s="8" t="s">
        <v>108</v>
      </c>
      <c r="G10" s="8" t="s">
        <v>107</v>
      </c>
      <c r="H10" s="8" t="s">
        <v>106</v>
      </c>
      <c r="I10" s="8" t="s">
        <v>109</v>
      </c>
      <c r="J10" s="8" t="s">
        <v>132</v>
      </c>
      <c r="K10" s="8" t="s">
        <v>169</v>
      </c>
      <c r="L10" s="8" t="s">
        <v>170</v>
      </c>
      <c r="M10" s="8" t="s">
        <v>171</v>
      </c>
      <c r="N10" s="8" t="s">
        <v>112</v>
      </c>
      <c r="P10" s="8" t="s">
        <v>14</v>
      </c>
      <c r="Q10" s="8" t="s">
        <v>8</v>
      </c>
      <c r="R10" s="93" t="s">
        <v>172</v>
      </c>
      <c r="T10" s="8" t="s">
        <v>17</v>
      </c>
      <c r="U10" s="8" t="s">
        <v>16</v>
      </c>
      <c r="V10" s="8"/>
      <c r="W10" s="8" t="s">
        <v>133</v>
      </c>
      <c r="X10" s="8" t="str">
        <f>Dates!G6</f>
        <v>Chambre</v>
      </c>
      <c r="Y10" s="28" t="str">
        <f>Dates!H6</f>
        <v>Date</v>
      </c>
      <c r="Z10" s="8" t="str">
        <f>Dates!I6</f>
        <v>Spécificité</v>
      </c>
      <c r="AB10" s="28" t="str">
        <f>Dates!K6</f>
        <v>Date</v>
      </c>
      <c r="AC10" s="8" t="str">
        <f>Dates!L6</f>
        <v>Raison</v>
      </c>
    </row>
    <row r="11" spans="2:29" s="3" customFormat="1" ht="17" thickTop="1" x14ac:dyDescent="0.2">
      <c r="B11" s="2" cm="1">
        <f t="array" ref="B11:B376">_xlfn.SEQUENCE(C5,1,C2,1)</f>
        <v>45688</v>
      </c>
      <c r="C11" s="2" t="str" cm="1">
        <f t="array" aca="1" ref="C11:C376" ca="1">_xlfn.IFS(
NOT(_xlfn.ANCHORARRAY(N11)),"Not in scope",_xlfn.ANCHORARRAY(
M11),INDEX(_xlfn.ANCHORARRAY(AC11),MATCH(_xlfn.ANCHORARRAY(B11),_xlfn.ANCHORARRAY(AB11),0)),_xlfn.ANCHORARRAY(
L11),INDEX(_xlfn.ANCHORARRAY(Z11),MATCH(_xlfn.ANCHORARRAY(B11),_xlfn.ANCHORARRAY(Y11),0)),_xlfn.ANCHORARRAY(
E11)*_xlfn.ANCHORARRAY(F11),"Jour semaine férié",_xlfn.ANCHORARRAY(
E11)*_xlfn.ANCHORARRAY(H11),"Jour semaine vacation été",_xlfn.ANCHORARRAY(
E11)*_xlfn.ANCHORARRAY(G11),"Jour semaine vacation hiver",_xlfn.ANCHORARRAY(
E11),"Jour semaine"
)</f>
        <v>Jour semaine</v>
      </c>
      <c r="D11" s="3" cm="1">
        <f t="array" ref="D11:D376">WEEKDAY(_xlfn.ANCHORARRAY(B11),2)</f>
        <v>5</v>
      </c>
      <c r="E11" s="3" t="b" cm="1">
        <f t="array" ref="E11:E376">IF(_xlfn.ANCHORARRAY(D11)&lt;6,TRUE,FALSE)</f>
        <v>1</v>
      </c>
      <c r="F11" s="3" t="b" cm="1">
        <f t="array" ref="F11:F376">IFERROR(VLOOKUP(_xlfn.ANCHORARRAY(B11),$Q$11:$Q$36,1,0),"")&lt;&gt;""</f>
        <v>0</v>
      </c>
      <c r="G11" s="2" t="b" cm="1">
        <f t="array" ref="G11:G376">IFERROR(VLOOKUP(_xlfn.ANCHORARRAY(B11),_xlfn.ANCHORARRAY(T11),1,0),"")&lt;&gt;""</f>
        <v>0</v>
      </c>
      <c r="H11" s="2" t="b" cm="1">
        <f t="array" ref="H11:H376">IFERROR(VLOOKUP(_xlfn.ANCHORARRAY(B11),_xlfn.ANCHORARRAY(U11),1,0),"")&lt;&gt;""</f>
        <v>0</v>
      </c>
      <c r="I11" s="3" t="b" cm="1">
        <f t="array" aca="1" ref="I11:I376" ca="1">IFERROR(VLOOKUP(_xlfn.ANCHORARRAY(B11),_xlfn.ANCHORARRAY(Y11),1,0),"")&lt;&gt;""</f>
        <v>0</v>
      </c>
      <c r="J11" s="3" t="str" cm="1">
        <f t="array" ref="J11:J376">_xlfn.ANCHORARRAY(B11)&amp;"_"&amp;$C$6</f>
        <v>45688_ORIENTATION</v>
      </c>
      <c r="K11" s="3" t="b" cm="1">
        <f t="array" aca="1" ref="K11:K376" ca="1">ISTEXT(IFERROR(VLOOKUP(_xlfn.ANCHORARRAY(J11),_xlfn.ANCHORARRAY(W11),1,0),FALSE))</f>
        <v>0</v>
      </c>
      <c r="L11" s="3" t="b" cm="1">
        <f t="array" aca="1" ref="L11:L376" ca="1">(_xlfn.ANCHORARRAY(K11) *_xlfn.ANCHORARRAY( I11)) = 1</f>
        <v>0</v>
      </c>
      <c r="M11" t="b" cm="1">
        <f t="array" aca="1" ref="M11:M376" ca="1">IFERROR(VLOOKUP(_xlfn.ANCHORARRAY(B11),_xlfn.ANCHORARRAY(AB11),1,0),"")&lt;&gt;""</f>
        <v>0</v>
      </c>
      <c r="N11" t="b" cm="1">
        <f t="array" ref="N11:N376">_xlfn.BYROW(_xlfn.ANCHORARRAY(D11), _xlfn.LAMBDA(_xlpm.d, OR(_xlfn.MAP(_xlfn.ANCHORARRAY($H$2), _xlfn.LAMBDA(_xlpm.h, _xlpm.h = _xlpm.d)))))</f>
        <v>1</v>
      </c>
      <c r="P11" s="12" t="s">
        <v>1</v>
      </c>
      <c r="Q11" s="2">
        <f>DATE($C$4,1,1)</f>
        <v>45658</v>
      </c>
      <c r="R11" s="91">
        <f>WEEKDAY(Q11,2)</f>
        <v>3</v>
      </c>
      <c r="T11" s="2" cm="1">
        <f t="array" ref="T11:T23">_xlfn.SEQUENCE(U4,1,T2,1)</f>
        <v>46013</v>
      </c>
      <c r="U11" s="2" cm="1">
        <f t="array" ref="U11:U50">_xlfn.SEQUENCE(T4,1,U2,1)</f>
        <v>45866</v>
      </c>
      <c r="V11" s="2"/>
      <c r="W11" s="2" t="str" cm="1">
        <f t="array" aca="1" ref="W11:W19" ca="1">OFFSET(Dates!F7, 0, 0, Dates!$H$3, 1)</f>
        <v>45867_7ème chambre - CPC</v>
      </c>
      <c r="X11" s="2" t="str" cm="1">
        <f t="array" aca="1" ref="X11:X19" ca="1">OFFSET(Dates!G7, 0, 0, Dates!$H$3, 1)</f>
        <v>7ème chambre - CPC</v>
      </c>
      <c r="Y11" s="2" cm="1">
        <f t="array" aca="1" ref="Y11:Y19" ca="1">OFFSET(Dates!H7, 0, 0, Dates!$H$3, 1)</f>
        <v>45867</v>
      </c>
      <c r="Z11" s="2" t="str" cm="1">
        <f t="array" aca="1" ref="Z11:Z19" ca="1">OFFSET(Dates!I7, 0, 0, Dates!$H$3, 1)</f>
        <v>Appel causes et CPC</v>
      </c>
      <c r="AB11" s="2" cm="1">
        <f t="array" aca="1" ref="AB11:AB13" ca="1">OFFSET(Dates!K7, 0, 0, Dates!L3, 1)</f>
        <v>45779</v>
      </c>
      <c r="AC11" s="3" t="str" cm="1">
        <f t="array" aca="1" ref="AC11:AC13" ca="1">OFFSET(Dates!L7, 0, 0, Dates!L3, 1)</f>
        <v>Pas audience</v>
      </c>
    </row>
    <row r="12" spans="2:29" x14ac:dyDescent="0.2">
      <c r="B12" s="2">
        <v>45689</v>
      </c>
      <c r="C12" s="2" t="str">
        <f ca="1"/>
        <v>Not in scope</v>
      </c>
      <c r="D12" s="3">
        <v>6</v>
      </c>
      <c r="E12" s="3" t="b">
        <v>0</v>
      </c>
      <c r="F12" s="3" t="b">
        <v>0</v>
      </c>
      <c r="G12" s="3" t="b">
        <v>0</v>
      </c>
      <c r="H12" s="3" t="b">
        <v>0</v>
      </c>
      <c r="I12" s="3" t="b">
        <f ca="1"/>
        <v>0</v>
      </c>
      <c r="J12" s="3" t="str">
        <v>45689_ORIENTATION</v>
      </c>
      <c r="K12" s="3" t="b">
        <f ca="1"/>
        <v>0</v>
      </c>
      <c r="L12" s="3" t="b">
        <f ca="1"/>
        <v>0</v>
      </c>
      <c r="M12" t="b">
        <f ca="1"/>
        <v>0</v>
      </c>
      <c r="N12" t="b">
        <v>0</v>
      </c>
      <c r="O12" s="2"/>
      <c r="P12" s="12" t="s">
        <v>2</v>
      </c>
      <c r="Q12" s="2">
        <f>ROUND(DATE($C$4,4,MOD(234-11*MOD($C$4,19),30))/7,0)*7-6</f>
        <v>45767</v>
      </c>
      <c r="R12" s="91">
        <f t="shared" ref="R12:R36" si="1">WEEKDAY(Q12,2)</f>
        <v>7</v>
      </c>
      <c r="S12" s="1"/>
      <c r="T12" s="1">
        <v>46014</v>
      </c>
      <c r="U12" s="1">
        <v>45867</v>
      </c>
      <c r="W12" s="2" t="str">
        <f ca="1"/>
        <v>45874_7ème chambre - CPC</v>
      </c>
      <c r="X12" s="3" t="str">
        <f ca="1"/>
        <v>7ème chambre - CPC</v>
      </c>
      <c r="Y12" s="2">
        <f ca="1"/>
        <v>45874</v>
      </c>
      <c r="Z12" s="2" t="str">
        <f ca="1"/>
        <v>Appel causes et CPC</v>
      </c>
      <c r="AB12" s="2">
        <f ca="1"/>
        <v>45807</v>
      </c>
      <c r="AC12" s="2" t="str">
        <f ca="1"/>
        <v>Pas audience</v>
      </c>
    </row>
    <row r="13" spans="2:29" x14ac:dyDescent="0.2">
      <c r="B13" s="2">
        <v>45690</v>
      </c>
      <c r="C13" s="2" t="str">
        <f ca="1"/>
        <v>Not in scope</v>
      </c>
      <c r="D13" s="3">
        <v>7</v>
      </c>
      <c r="E13" s="3" t="b">
        <v>0</v>
      </c>
      <c r="F13" s="3" t="b">
        <v>0</v>
      </c>
      <c r="G13" s="3" t="b">
        <v>0</v>
      </c>
      <c r="H13" s="3" t="b">
        <v>0</v>
      </c>
      <c r="I13" s="3" t="b">
        <f ca="1"/>
        <v>0</v>
      </c>
      <c r="J13" s="3" t="str">
        <v>45690_ORIENTATION</v>
      </c>
      <c r="K13" s="3" t="b">
        <f ca="1"/>
        <v>0</v>
      </c>
      <c r="L13" s="3" t="b">
        <f ca="1"/>
        <v>0</v>
      </c>
      <c r="M13" t="b">
        <f ca="1"/>
        <v>0</v>
      </c>
      <c r="N13" t="b">
        <v>0</v>
      </c>
      <c r="O13" s="2"/>
      <c r="P13" s="12" t="s">
        <v>3</v>
      </c>
      <c r="Q13" s="2">
        <f>Q12+1</f>
        <v>45768</v>
      </c>
      <c r="R13" s="91">
        <f t="shared" si="1"/>
        <v>1</v>
      </c>
      <c r="S13" s="1"/>
      <c r="T13" s="1">
        <v>46015</v>
      </c>
      <c r="U13" s="1">
        <v>45868</v>
      </c>
      <c r="W13" s="2" t="str">
        <f ca="1"/>
        <v>45895_7ème chambre - CPC</v>
      </c>
      <c r="X13" s="3" t="str">
        <f ca="1"/>
        <v>7ème chambre - CPC</v>
      </c>
      <c r="Y13" s="2">
        <f ca="1"/>
        <v>45895</v>
      </c>
      <c r="Z13" s="3" t="str">
        <f ca="1"/>
        <v>Appel causes et CPC</v>
      </c>
      <c r="AB13" s="2">
        <f ca="1"/>
        <v>45971</v>
      </c>
      <c r="AC13" s="2" t="str">
        <f ca="1"/>
        <v>Pas audience</v>
      </c>
    </row>
    <row r="14" spans="2:29" x14ac:dyDescent="0.2">
      <c r="B14" s="2">
        <v>45691</v>
      </c>
      <c r="C14" s="2" t="str">
        <f ca="1"/>
        <v>Not in scope</v>
      </c>
      <c r="D14" s="3">
        <v>1</v>
      </c>
      <c r="E14" s="3" t="b">
        <v>1</v>
      </c>
      <c r="F14" s="3" t="b">
        <v>0</v>
      </c>
      <c r="G14" s="3" t="b">
        <v>0</v>
      </c>
      <c r="H14" s="3" t="b">
        <v>0</v>
      </c>
      <c r="I14" s="3" t="b">
        <f ca="1"/>
        <v>0</v>
      </c>
      <c r="J14" s="3" t="str">
        <v>45691_ORIENTATION</v>
      </c>
      <c r="K14" s="3" t="b">
        <f ca="1"/>
        <v>0</v>
      </c>
      <c r="L14" s="3" t="b">
        <f ca="1"/>
        <v>0</v>
      </c>
      <c r="M14" t="b">
        <f ca="1"/>
        <v>0</v>
      </c>
      <c r="N14" t="b">
        <v>0</v>
      </c>
      <c r="O14" s="2"/>
      <c r="P14" s="12" t="s">
        <v>4</v>
      </c>
      <c r="Q14" s="2">
        <f>DATE($C$4,5,1)</f>
        <v>45778</v>
      </c>
      <c r="R14" s="91">
        <f t="shared" si="1"/>
        <v>4</v>
      </c>
      <c r="S14" s="1"/>
      <c r="T14" s="1">
        <v>46016</v>
      </c>
      <c r="U14" s="1">
        <v>45869</v>
      </c>
      <c r="W14" s="2" t="str">
        <f ca="1"/>
        <v>45902_7ème chambre - CPC</v>
      </c>
      <c r="X14" s="3" t="str">
        <f ca="1"/>
        <v>7ème chambre - CPC</v>
      </c>
      <c r="Y14" s="2">
        <f ca="1"/>
        <v>45902</v>
      </c>
      <c r="Z14" s="3" t="str">
        <f ca="1"/>
        <v>Appel causes et CPC</v>
      </c>
    </row>
    <row r="15" spans="2:29" x14ac:dyDescent="0.2">
      <c r="B15" s="2">
        <v>45692</v>
      </c>
      <c r="C15" s="2" t="str">
        <f ca="1"/>
        <v>Not in scope</v>
      </c>
      <c r="D15" s="3">
        <v>2</v>
      </c>
      <c r="E15" s="3" t="b">
        <v>1</v>
      </c>
      <c r="F15" s="3" t="b">
        <v>0</v>
      </c>
      <c r="G15" s="3" t="b">
        <v>0</v>
      </c>
      <c r="H15" s="3" t="b">
        <v>0</v>
      </c>
      <c r="I15" s="3" t="b">
        <f ca="1"/>
        <v>0</v>
      </c>
      <c r="J15" s="3" t="str">
        <v>45692_ORIENTATION</v>
      </c>
      <c r="K15" s="3" t="b">
        <f ca="1"/>
        <v>0</v>
      </c>
      <c r="L15" s="3" t="b">
        <f ca="1"/>
        <v>0</v>
      </c>
      <c r="M15" t="b">
        <f ca="1"/>
        <v>0</v>
      </c>
      <c r="N15" t="b">
        <v>0</v>
      </c>
      <c r="O15" s="2"/>
      <c r="P15" s="12" t="s">
        <v>5</v>
      </c>
      <c r="Q15" s="2">
        <f>DATE($C$4,5,8)</f>
        <v>45785</v>
      </c>
      <c r="R15" s="91">
        <f t="shared" si="1"/>
        <v>4</v>
      </c>
      <c r="S15" s="1"/>
      <c r="T15" s="1">
        <v>46017</v>
      </c>
      <c r="U15" s="1">
        <v>45870</v>
      </c>
      <c r="W15" s="2" t="str">
        <f ca="1"/>
        <v>45868_5ème chambre - REFERES</v>
      </c>
      <c r="X15" s="3" t="str">
        <f ca="1"/>
        <v>5ème chambre - REFERES</v>
      </c>
      <c r="Y15" s="2">
        <f ca="1"/>
        <v>45868</v>
      </c>
      <c r="Z15" s="3" t="str">
        <f ca="1"/>
        <v>Audience</v>
      </c>
    </row>
    <row r="16" spans="2:29" x14ac:dyDescent="0.2">
      <c r="B16" s="2">
        <v>45693</v>
      </c>
      <c r="C16" s="2" t="str">
        <f ca="1"/>
        <v>Not in scope</v>
      </c>
      <c r="D16" s="3">
        <v>3</v>
      </c>
      <c r="E16" s="3" t="b">
        <v>1</v>
      </c>
      <c r="F16" s="3" t="b">
        <v>0</v>
      </c>
      <c r="G16" s="3" t="b">
        <v>0</v>
      </c>
      <c r="H16" s="3" t="b">
        <v>0</v>
      </c>
      <c r="I16" s="3" t="b">
        <f ca="1"/>
        <v>0</v>
      </c>
      <c r="J16" s="3" t="str">
        <v>45693_ORIENTATION</v>
      </c>
      <c r="K16" s="3" t="b">
        <f ca="1"/>
        <v>0</v>
      </c>
      <c r="L16" s="3" t="b">
        <f ca="1"/>
        <v>0</v>
      </c>
      <c r="M16" t="b">
        <f ca="1"/>
        <v>0</v>
      </c>
      <c r="N16" t="b">
        <v>0</v>
      </c>
      <c r="O16" s="2"/>
      <c r="P16" s="12" t="s">
        <v>84</v>
      </c>
      <c r="Q16" s="2">
        <f>Q12+39</f>
        <v>45806</v>
      </c>
      <c r="R16" s="91">
        <f t="shared" si="1"/>
        <v>4</v>
      </c>
      <c r="S16" s="1"/>
      <c r="T16" s="1">
        <v>46018</v>
      </c>
      <c r="U16" s="1">
        <v>45871</v>
      </c>
      <c r="W16" s="2" t="str">
        <f ca="1"/>
        <v>45875_5ème chambre - REFERES</v>
      </c>
      <c r="X16" s="3" t="str">
        <f ca="1"/>
        <v>5ème chambre - REFERES</v>
      </c>
      <c r="Y16" s="2">
        <f ca="1"/>
        <v>45875</v>
      </c>
      <c r="Z16" s="3" t="str">
        <f ca="1"/>
        <v>Audience</v>
      </c>
    </row>
    <row r="17" spans="2:26" x14ac:dyDescent="0.2">
      <c r="B17" s="2">
        <v>45694</v>
      </c>
      <c r="C17" s="2" t="str">
        <f ca="1"/>
        <v>Not in scope</v>
      </c>
      <c r="D17" s="3">
        <v>4</v>
      </c>
      <c r="E17" s="3" t="b">
        <v>1</v>
      </c>
      <c r="F17" s="3" t="b">
        <v>0</v>
      </c>
      <c r="G17" s="3" t="b">
        <v>0</v>
      </c>
      <c r="H17" s="3" t="b">
        <v>0</v>
      </c>
      <c r="I17" s="3" t="b">
        <f ca="1"/>
        <v>0</v>
      </c>
      <c r="J17" s="3" t="str">
        <v>45694_ORIENTATION</v>
      </c>
      <c r="K17" s="3" t="b">
        <f ca="1"/>
        <v>0</v>
      </c>
      <c r="L17" s="3" t="b">
        <f ca="1"/>
        <v>0</v>
      </c>
      <c r="M17" t="b">
        <f ca="1"/>
        <v>0</v>
      </c>
      <c r="N17" t="b">
        <v>0</v>
      </c>
      <c r="O17" s="2"/>
      <c r="P17" s="12" t="s">
        <v>85</v>
      </c>
      <c r="Q17" s="2">
        <f>Q12+49</f>
        <v>45816</v>
      </c>
      <c r="R17" s="91">
        <f t="shared" si="1"/>
        <v>7</v>
      </c>
      <c r="T17" s="1">
        <v>46019</v>
      </c>
      <c r="U17" s="1">
        <v>45872</v>
      </c>
      <c r="W17" s="2" t="str">
        <f ca="1"/>
        <v>45903_5ème chambre - REFERES</v>
      </c>
      <c r="X17" s="3" t="str">
        <f ca="1"/>
        <v>5ème chambre - REFERES</v>
      </c>
      <c r="Y17" s="2">
        <f ca="1"/>
        <v>45903</v>
      </c>
      <c r="Z17" s="3" t="str">
        <f ca="1"/>
        <v>Audience</v>
      </c>
    </row>
    <row r="18" spans="2:26" x14ac:dyDescent="0.2">
      <c r="B18" s="2">
        <v>45695</v>
      </c>
      <c r="C18" s="2" t="str">
        <f ca="1"/>
        <v>Jour semaine</v>
      </c>
      <c r="D18" s="3">
        <v>5</v>
      </c>
      <c r="E18" s="3" t="b">
        <v>1</v>
      </c>
      <c r="F18" s="3" t="b">
        <v>0</v>
      </c>
      <c r="G18" s="3" t="b">
        <v>0</v>
      </c>
      <c r="H18" s="3" t="b">
        <v>0</v>
      </c>
      <c r="I18" s="3" t="b">
        <f ca="1"/>
        <v>0</v>
      </c>
      <c r="J18" s="3" t="str">
        <v>45695_ORIENTATION</v>
      </c>
      <c r="K18" s="3" t="b">
        <f ca="1"/>
        <v>0</v>
      </c>
      <c r="L18" s="3" t="b">
        <f ca="1"/>
        <v>0</v>
      </c>
      <c r="M18" t="b">
        <f ca="1"/>
        <v>0</v>
      </c>
      <c r="N18" t="b">
        <v>1</v>
      </c>
      <c r="O18" s="2"/>
      <c r="P18" s="13" t="s">
        <v>86</v>
      </c>
      <c r="Q18" s="2">
        <f>Q12+50</f>
        <v>45817</v>
      </c>
      <c r="R18" s="91">
        <f t="shared" si="1"/>
        <v>1</v>
      </c>
      <c r="T18" s="1">
        <v>46020</v>
      </c>
      <c r="U18" s="1">
        <v>45873</v>
      </c>
      <c r="W18" s="2" t="str">
        <f ca="1"/>
        <v>46014_7ème chambre - CPC</v>
      </c>
      <c r="X18" s="3" t="str">
        <f ca="1"/>
        <v>7ème chambre - CPC</v>
      </c>
      <c r="Y18" s="2">
        <f ca="1"/>
        <v>46014</v>
      </c>
      <c r="Z18" s="3" t="str">
        <f ca="1"/>
        <v>Appel causes et CPC</v>
      </c>
    </row>
    <row r="19" spans="2:26" x14ac:dyDescent="0.2">
      <c r="B19" s="2">
        <v>45696</v>
      </c>
      <c r="C19" s="2" t="str">
        <f ca="1"/>
        <v>Not in scope</v>
      </c>
      <c r="D19" s="3">
        <v>6</v>
      </c>
      <c r="E19" s="3" t="b">
        <v>0</v>
      </c>
      <c r="F19" s="3" t="b">
        <v>0</v>
      </c>
      <c r="G19" s="3" t="b">
        <v>0</v>
      </c>
      <c r="H19" s="3" t="b">
        <v>0</v>
      </c>
      <c r="I19" s="3" t="b">
        <f ca="1"/>
        <v>0</v>
      </c>
      <c r="J19" s="3" t="str">
        <v>45696_ORIENTATION</v>
      </c>
      <c r="K19" s="3" t="b">
        <f ca="1"/>
        <v>0</v>
      </c>
      <c r="L19" s="3" t="b">
        <f ca="1"/>
        <v>0</v>
      </c>
      <c r="M19" t="b">
        <f ca="1"/>
        <v>0</v>
      </c>
      <c r="N19" t="b">
        <v>0</v>
      </c>
      <c r="O19" s="2"/>
      <c r="P19" s="12" t="s">
        <v>87</v>
      </c>
      <c r="Q19" s="2">
        <f>DATE($C$4,7,14)</f>
        <v>45852</v>
      </c>
      <c r="R19" s="91">
        <f t="shared" si="1"/>
        <v>1</v>
      </c>
      <c r="T19" s="1">
        <v>46021</v>
      </c>
      <c r="U19" s="1">
        <v>45874</v>
      </c>
      <c r="W19" s="2" t="str">
        <f ca="1"/>
        <v>46013_5ème chambre - REFERES</v>
      </c>
      <c r="X19" s="3" t="str">
        <f ca="1"/>
        <v>5ème chambre - REFERES</v>
      </c>
      <c r="Y19" s="2">
        <f ca="1"/>
        <v>46013</v>
      </c>
      <c r="Z19" s="3" t="str">
        <f ca="1"/>
        <v>Audience</v>
      </c>
    </row>
    <row r="20" spans="2:26" x14ac:dyDescent="0.2">
      <c r="B20" s="2">
        <v>45697</v>
      </c>
      <c r="C20" s="2" t="str">
        <f ca="1"/>
        <v>Not in scope</v>
      </c>
      <c r="D20" s="3">
        <v>7</v>
      </c>
      <c r="E20" s="3" t="b">
        <v>0</v>
      </c>
      <c r="F20" s="3" t="b">
        <v>0</v>
      </c>
      <c r="G20" s="3" t="b">
        <v>0</v>
      </c>
      <c r="H20" s="3" t="b">
        <v>0</v>
      </c>
      <c r="I20" s="3" t="b">
        <f ca="1"/>
        <v>0</v>
      </c>
      <c r="J20" s="3" t="str">
        <v>45697_ORIENTATION</v>
      </c>
      <c r="K20" s="3" t="b">
        <f ca="1"/>
        <v>0</v>
      </c>
      <c r="L20" s="3" t="b">
        <f ca="1"/>
        <v>0</v>
      </c>
      <c r="M20" t="b">
        <f ca="1"/>
        <v>0</v>
      </c>
      <c r="N20" t="b">
        <v>0</v>
      </c>
      <c r="O20" s="2"/>
      <c r="P20" s="12" t="s">
        <v>88</v>
      </c>
      <c r="Q20" s="2">
        <f>DATE($C$4,8,15)</f>
        <v>45884</v>
      </c>
      <c r="R20" s="91">
        <f t="shared" si="1"/>
        <v>5</v>
      </c>
      <c r="T20" s="1">
        <v>46022</v>
      </c>
      <c r="U20" s="1">
        <v>45875</v>
      </c>
      <c r="X20" s="3"/>
    </row>
    <row r="21" spans="2:26" x14ac:dyDescent="0.2">
      <c r="B21" s="2">
        <v>45698</v>
      </c>
      <c r="C21" s="2" t="str">
        <f ca="1"/>
        <v>Not in scope</v>
      </c>
      <c r="D21" s="3">
        <v>1</v>
      </c>
      <c r="E21" s="3" t="b">
        <v>1</v>
      </c>
      <c r="F21" s="3" t="b">
        <v>0</v>
      </c>
      <c r="G21" s="3" t="b">
        <v>0</v>
      </c>
      <c r="H21" s="3" t="b">
        <v>0</v>
      </c>
      <c r="I21" s="3" t="b">
        <f ca="1"/>
        <v>0</v>
      </c>
      <c r="J21" s="3" t="str">
        <v>45698_ORIENTATION</v>
      </c>
      <c r="K21" s="3" t="b">
        <f ca="1"/>
        <v>0</v>
      </c>
      <c r="L21" s="3" t="b">
        <f ca="1"/>
        <v>0</v>
      </c>
      <c r="M21" t="b">
        <f ca="1"/>
        <v>0</v>
      </c>
      <c r="N21" t="b">
        <v>0</v>
      </c>
      <c r="O21" s="2"/>
      <c r="P21" s="12" t="s">
        <v>89</v>
      </c>
      <c r="Q21" s="2">
        <f>DATE($C$4,8,15)</f>
        <v>45884</v>
      </c>
      <c r="R21" s="91">
        <f t="shared" si="1"/>
        <v>5</v>
      </c>
      <c r="T21" s="1">
        <v>46023</v>
      </c>
      <c r="U21" s="1">
        <v>45876</v>
      </c>
    </row>
    <row r="22" spans="2:26" x14ac:dyDescent="0.2">
      <c r="B22" s="2">
        <v>45699</v>
      </c>
      <c r="C22" s="2" t="str">
        <f ca="1"/>
        <v>Not in scope</v>
      </c>
      <c r="D22" s="3">
        <v>2</v>
      </c>
      <c r="E22" s="3" t="b">
        <v>1</v>
      </c>
      <c r="F22" s="3" t="b">
        <v>0</v>
      </c>
      <c r="G22" s="3" t="b">
        <v>0</v>
      </c>
      <c r="H22" s="3" t="b">
        <v>0</v>
      </c>
      <c r="I22" s="3" t="b">
        <f ca="1"/>
        <v>0</v>
      </c>
      <c r="J22" s="3" t="str">
        <v>45699_ORIENTATION</v>
      </c>
      <c r="K22" s="3" t="b">
        <f ca="1"/>
        <v>0</v>
      </c>
      <c r="L22" s="3" t="b">
        <f ca="1"/>
        <v>0</v>
      </c>
      <c r="M22" t="b">
        <f ca="1"/>
        <v>0</v>
      </c>
      <c r="N22" t="b">
        <v>0</v>
      </c>
      <c r="O22" s="2"/>
      <c r="P22" s="12" t="s">
        <v>90</v>
      </c>
      <c r="Q22" s="2">
        <f>DATE($C$4,11,11)</f>
        <v>45972</v>
      </c>
      <c r="R22" s="91">
        <f t="shared" si="1"/>
        <v>2</v>
      </c>
      <c r="T22" s="1">
        <v>46024</v>
      </c>
      <c r="U22" s="1">
        <v>45877</v>
      </c>
    </row>
    <row r="23" spans="2:26" x14ac:dyDescent="0.2">
      <c r="B23" s="2">
        <v>45700</v>
      </c>
      <c r="C23" s="2" t="str">
        <f ca="1"/>
        <v>Not in scope</v>
      </c>
      <c r="D23" s="3">
        <v>3</v>
      </c>
      <c r="E23" s="3" t="b">
        <v>1</v>
      </c>
      <c r="F23" s="3" t="b">
        <v>0</v>
      </c>
      <c r="G23" s="3" t="b">
        <v>0</v>
      </c>
      <c r="H23" s="3" t="b">
        <v>0</v>
      </c>
      <c r="I23" s="3" t="b">
        <f ca="1"/>
        <v>0</v>
      </c>
      <c r="J23" s="3" t="str">
        <v>45700_ORIENTATION</v>
      </c>
      <c r="K23" s="3" t="b">
        <f ca="1"/>
        <v>0</v>
      </c>
      <c r="L23" s="3" t="b">
        <f ca="1"/>
        <v>0</v>
      </c>
      <c r="M23" t="b">
        <f ca="1"/>
        <v>0</v>
      </c>
      <c r="N23" t="b">
        <v>0</v>
      </c>
      <c r="O23" s="2"/>
      <c r="P23" s="12" t="s">
        <v>91</v>
      </c>
      <c r="Q23" s="2">
        <f>DATE($C$4,12,25)</f>
        <v>46016</v>
      </c>
      <c r="R23" s="91">
        <f t="shared" si="1"/>
        <v>4</v>
      </c>
      <c r="T23" s="1">
        <v>46025</v>
      </c>
      <c r="U23" s="1">
        <v>45878</v>
      </c>
    </row>
    <row r="24" spans="2:26" x14ac:dyDescent="0.2">
      <c r="B24" s="2">
        <v>45701</v>
      </c>
      <c r="C24" s="2" t="str">
        <f ca="1"/>
        <v>Not in scope</v>
      </c>
      <c r="D24" s="3">
        <v>4</v>
      </c>
      <c r="E24" s="3" t="b">
        <v>1</v>
      </c>
      <c r="F24" s="3" t="b">
        <v>0</v>
      </c>
      <c r="G24" s="3" t="b">
        <v>0</v>
      </c>
      <c r="H24" s="3" t="b">
        <v>0</v>
      </c>
      <c r="I24" s="3" t="b">
        <f ca="1"/>
        <v>0</v>
      </c>
      <c r="J24" s="3" t="str">
        <v>45701_ORIENTATION</v>
      </c>
      <c r="K24" s="3" t="b">
        <f ca="1"/>
        <v>0</v>
      </c>
      <c r="L24" s="3" t="b">
        <f ca="1"/>
        <v>0</v>
      </c>
      <c r="M24" t="b">
        <f ca="1"/>
        <v>0</v>
      </c>
      <c r="N24" t="b">
        <v>0</v>
      </c>
      <c r="O24" s="2"/>
      <c r="P24" s="15" t="s">
        <v>1</v>
      </c>
      <c r="Q24" s="2">
        <f>DATE($C$4+1,1,1)</f>
        <v>46023</v>
      </c>
      <c r="R24" s="91">
        <f t="shared" si="1"/>
        <v>4</v>
      </c>
      <c r="U24" s="1">
        <v>45879</v>
      </c>
    </row>
    <row r="25" spans="2:26" x14ac:dyDescent="0.2">
      <c r="B25" s="2">
        <v>45702</v>
      </c>
      <c r="C25" s="2" t="str">
        <f ca="1"/>
        <v>Jour semaine</v>
      </c>
      <c r="D25" s="3">
        <v>5</v>
      </c>
      <c r="E25" s="3" t="b">
        <v>1</v>
      </c>
      <c r="F25" s="3" t="b">
        <v>0</v>
      </c>
      <c r="G25" s="3" t="b">
        <v>0</v>
      </c>
      <c r="H25" s="3" t="b">
        <v>0</v>
      </c>
      <c r="I25" s="3" t="b">
        <f ca="1"/>
        <v>0</v>
      </c>
      <c r="J25" s="3" t="str">
        <v>45702_ORIENTATION</v>
      </c>
      <c r="K25" s="3" t="b">
        <f ca="1"/>
        <v>0</v>
      </c>
      <c r="L25" s="3" t="b">
        <f ca="1"/>
        <v>0</v>
      </c>
      <c r="M25" t="b">
        <f ca="1"/>
        <v>0</v>
      </c>
      <c r="N25" t="b">
        <v>1</v>
      </c>
      <c r="O25" s="2"/>
      <c r="P25" s="15" t="s">
        <v>2</v>
      </c>
      <c r="Q25" s="2">
        <f>ROUND(DATE($C$4+1,4,MOD(234-11*MOD($C$4+1,19),30))/7,0)*7-6</f>
        <v>46117</v>
      </c>
      <c r="R25" s="91">
        <f t="shared" si="1"/>
        <v>7</v>
      </c>
      <c r="U25" s="1">
        <v>45880</v>
      </c>
    </row>
    <row r="26" spans="2:26" x14ac:dyDescent="0.2">
      <c r="B26" s="2">
        <v>45703</v>
      </c>
      <c r="C26" s="2" t="str">
        <f ca="1"/>
        <v>Not in scope</v>
      </c>
      <c r="D26" s="3">
        <v>6</v>
      </c>
      <c r="E26" s="3" t="b">
        <v>0</v>
      </c>
      <c r="F26" s="3" t="b">
        <v>0</v>
      </c>
      <c r="G26" s="3" t="b">
        <v>0</v>
      </c>
      <c r="H26" s="3" t="b">
        <v>0</v>
      </c>
      <c r="I26" s="3" t="b">
        <f ca="1"/>
        <v>0</v>
      </c>
      <c r="J26" s="3" t="str">
        <v>45703_ORIENTATION</v>
      </c>
      <c r="K26" s="3" t="b">
        <f ca="1"/>
        <v>0</v>
      </c>
      <c r="L26" s="3" t="b">
        <f ca="1"/>
        <v>0</v>
      </c>
      <c r="M26" t="b">
        <f ca="1"/>
        <v>0</v>
      </c>
      <c r="N26" t="b">
        <v>0</v>
      </c>
      <c r="O26" s="2"/>
      <c r="P26" s="15" t="s">
        <v>3</v>
      </c>
      <c r="Q26" s="2">
        <f>Q25+1</f>
        <v>46118</v>
      </c>
      <c r="R26" s="91">
        <f t="shared" si="1"/>
        <v>1</v>
      </c>
      <c r="U26" s="1">
        <v>45881</v>
      </c>
    </row>
    <row r="27" spans="2:26" x14ac:dyDescent="0.2">
      <c r="B27" s="2">
        <v>45704</v>
      </c>
      <c r="C27" s="2" t="str">
        <f ca="1"/>
        <v>Not in scope</v>
      </c>
      <c r="D27" s="3">
        <v>7</v>
      </c>
      <c r="E27" s="3" t="b">
        <v>0</v>
      </c>
      <c r="F27" s="3" t="b">
        <v>0</v>
      </c>
      <c r="G27" s="3" t="b">
        <v>0</v>
      </c>
      <c r="H27" s="3" t="b">
        <v>0</v>
      </c>
      <c r="I27" s="3" t="b">
        <f ca="1"/>
        <v>0</v>
      </c>
      <c r="J27" s="3" t="str">
        <v>45704_ORIENTATION</v>
      </c>
      <c r="K27" s="3" t="b">
        <f ca="1"/>
        <v>0</v>
      </c>
      <c r="L27" s="3" t="b">
        <f ca="1"/>
        <v>0</v>
      </c>
      <c r="M27" t="b">
        <f ca="1"/>
        <v>0</v>
      </c>
      <c r="N27" t="b">
        <v>0</v>
      </c>
      <c r="O27" s="2"/>
      <c r="P27" s="15" t="s">
        <v>4</v>
      </c>
      <c r="Q27" s="2">
        <f>DATE($C$4+1,5,1)</f>
        <v>46143</v>
      </c>
      <c r="R27" s="91">
        <f t="shared" si="1"/>
        <v>5</v>
      </c>
      <c r="U27" s="1">
        <v>45882</v>
      </c>
    </row>
    <row r="28" spans="2:26" x14ac:dyDescent="0.2">
      <c r="B28" s="2">
        <v>45705</v>
      </c>
      <c r="C28" s="2" t="str">
        <f ca="1"/>
        <v>Not in scope</v>
      </c>
      <c r="D28" s="3">
        <v>1</v>
      </c>
      <c r="E28" s="3" t="b">
        <v>1</v>
      </c>
      <c r="F28" s="3" t="b">
        <v>0</v>
      </c>
      <c r="G28" s="3" t="b">
        <v>0</v>
      </c>
      <c r="H28" s="3" t="b">
        <v>0</v>
      </c>
      <c r="I28" s="3" t="b">
        <f ca="1"/>
        <v>0</v>
      </c>
      <c r="J28" s="3" t="str">
        <v>45705_ORIENTATION</v>
      </c>
      <c r="K28" s="3" t="b">
        <f ca="1"/>
        <v>0</v>
      </c>
      <c r="L28" s="3" t="b">
        <f ca="1"/>
        <v>0</v>
      </c>
      <c r="M28" t="b">
        <f ca="1"/>
        <v>0</v>
      </c>
      <c r="N28" t="b">
        <v>0</v>
      </c>
      <c r="O28" s="2"/>
      <c r="P28" s="15" t="s">
        <v>5</v>
      </c>
      <c r="Q28" s="2">
        <f>DATE($C$4+1,5,8)</f>
        <v>46150</v>
      </c>
      <c r="R28" s="91">
        <f t="shared" si="1"/>
        <v>5</v>
      </c>
      <c r="U28" s="1">
        <v>45883</v>
      </c>
    </row>
    <row r="29" spans="2:26" x14ac:dyDescent="0.2">
      <c r="B29" s="2">
        <v>45706</v>
      </c>
      <c r="C29" s="2" t="str">
        <f ca="1"/>
        <v>Not in scope</v>
      </c>
      <c r="D29" s="3">
        <v>2</v>
      </c>
      <c r="E29" s="3" t="b">
        <v>1</v>
      </c>
      <c r="F29" s="3" t="b">
        <v>0</v>
      </c>
      <c r="G29" s="3" t="b">
        <v>0</v>
      </c>
      <c r="H29" s="3" t="b">
        <v>0</v>
      </c>
      <c r="I29" s="3" t="b">
        <f ca="1"/>
        <v>0</v>
      </c>
      <c r="J29" s="3" t="str">
        <v>45706_ORIENTATION</v>
      </c>
      <c r="K29" s="3" t="b">
        <f ca="1"/>
        <v>0</v>
      </c>
      <c r="L29" s="3" t="b">
        <f ca="1"/>
        <v>0</v>
      </c>
      <c r="M29" t="b">
        <f ca="1"/>
        <v>0</v>
      </c>
      <c r="N29" t="b">
        <v>0</v>
      </c>
      <c r="O29" s="2"/>
      <c r="P29" s="15" t="s">
        <v>84</v>
      </c>
      <c r="Q29" s="2">
        <f>Q25+39</f>
        <v>46156</v>
      </c>
      <c r="R29" s="91">
        <f t="shared" si="1"/>
        <v>4</v>
      </c>
      <c r="U29" s="1">
        <v>45884</v>
      </c>
    </row>
    <row r="30" spans="2:26" x14ac:dyDescent="0.2">
      <c r="B30" s="2">
        <v>45707</v>
      </c>
      <c r="C30" s="2" t="str">
        <f ca="1"/>
        <v>Not in scope</v>
      </c>
      <c r="D30" s="3">
        <v>3</v>
      </c>
      <c r="E30" s="3" t="b">
        <v>1</v>
      </c>
      <c r="F30" s="3" t="b">
        <v>0</v>
      </c>
      <c r="G30" s="3" t="b">
        <v>0</v>
      </c>
      <c r="H30" s="3" t="b">
        <v>0</v>
      </c>
      <c r="I30" s="3" t="b">
        <f ca="1"/>
        <v>0</v>
      </c>
      <c r="J30" s="3" t="str">
        <v>45707_ORIENTATION</v>
      </c>
      <c r="K30" s="3" t="b">
        <f ca="1"/>
        <v>0</v>
      </c>
      <c r="L30" s="3" t="b">
        <f ca="1"/>
        <v>0</v>
      </c>
      <c r="M30" t="b">
        <f ca="1"/>
        <v>0</v>
      </c>
      <c r="N30" t="b">
        <v>0</v>
      </c>
      <c r="O30" s="2"/>
      <c r="P30" s="15" t="s">
        <v>85</v>
      </c>
      <c r="Q30" s="2">
        <f>Q25+49</f>
        <v>46166</v>
      </c>
      <c r="R30" s="91">
        <f t="shared" si="1"/>
        <v>7</v>
      </c>
      <c r="U30" s="1">
        <v>45885</v>
      </c>
    </row>
    <row r="31" spans="2:26" x14ac:dyDescent="0.2">
      <c r="B31" s="2">
        <v>45708</v>
      </c>
      <c r="C31" s="2" t="str">
        <f ca="1"/>
        <v>Not in scope</v>
      </c>
      <c r="D31" s="3">
        <v>4</v>
      </c>
      <c r="E31" s="3" t="b">
        <v>1</v>
      </c>
      <c r="F31" s="3" t="b">
        <v>0</v>
      </c>
      <c r="G31" s="3" t="b">
        <v>0</v>
      </c>
      <c r="H31" s="3" t="b">
        <v>0</v>
      </c>
      <c r="I31" s="3" t="b">
        <f ca="1"/>
        <v>0</v>
      </c>
      <c r="J31" s="3" t="str">
        <v>45708_ORIENTATION</v>
      </c>
      <c r="K31" s="3" t="b">
        <f ca="1"/>
        <v>0</v>
      </c>
      <c r="L31" s="3" t="b">
        <f ca="1"/>
        <v>0</v>
      </c>
      <c r="M31" t="b">
        <f ca="1"/>
        <v>0</v>
      </c>
      <c r="N31" t="b">
        <v>0</v>
      </c>
      <c r="O31" s="2"/>
      <c r="P31" s="16" t="s">
        <v>86</v>
      </c>
      <c r="Q31" s="2">
        <f>Q25+50</f>
        <v>46167</v>
      </c>
      <c r="R31" s="91">
        <f t="shared" si="1"/>
        <v>1</v>
      </c>
      <c r="U31" s="1">
        <v>45886</v>
      </c>
    </row>
    <row r="32" spans="2:26" x14ac:dyDescent="0.2">
      <c r="B32" s="2">
        <v>45709</v>
      </c>
      <c r="C32" s="2" t="str">
        <f ca="1"/>
        <v>Jour semaine</v>
      </c>
      <c r="D32" s="3">
        <v>5</v>
      </c>
      <c r="E32" s="3" t="b">
        <v>1</v>
      </c>
      <c r="F32" s="3" t="b">
        <v>0</v>
      </c>
      <c r="G32" s="3" t="b">
        <v>0</v>
      </c>
      <c r="H32" s="3" t="b">
        <v>0</v>
      </c>
      <c r="I32" s="3" t="b">
        <f ca="1"/>
        <v>0</v>
      </c>
      <c r="J32" s="3" t="str">
        <v>45709_ORIENTATION</v>
      </c>
      <c r="K32" s="3" t="b">
        <f ca="1"/>
        <v>0</v>
      </c>
      <c r="L32" s="3" t="b">
        <f ca="1"/>
        <v>0</v>
      </c>
      <c r="M32" t="b">
        <f ca="1"/>
        <v>0</v>
      </c>
      <c r="N32" t="b">
        <v>1</v>
      </c>
      <c r="O32" s="2"/>
      <c r="P32" s="15" t="s">
        <v>87</v>
      </c>
      <c r="Q32" s="2">
        <f>DATE($C$4+1,7,14)</f>
        <v>46217</v>
      </c>
      <c r="R32" s="91">
        <f t="shared" si="1"/>
        <v>2</v>
      </c>
      <c r="U32" s="1">
        <v>45887</v>
      </c>
    </row>
    <row r="33" spans="2:21" x14ac:dyDescent="0.2">
      <c r="B33" s="2">
        <v>45710</v>
      </c>
      <c r="C33" s="2" t="str">
        <f ca="1"/>
        <v>Not in scope</v>
      </c>
      <c r="D33" s="3">
        <v>6</v>
      </c>
      <c r="E33" s="3" t="b">
        <v>0</v>
      </c>
      <c r="F33" s="3" t="b">
        <v>0</v>
      </c>
      <c r="G33" s="3" t="b">
        <v>0</v>
      </c>
      <c r="H33" s="3" t="b">
        <v>0</v>
      </c>
      <c r="I33" s="3" t="b">
        <f ca="1"/>
        <v>0</v>
      </c>
      <c r="J33" s="3" t="str">
        <v>45710_ORIENTATION</v>
      </c>
      <c r="K33" s="3" t="b">
        <f ca="1"/>
        <v>0</v>
      </c>
      <c r="L33" s="3" t="b">
        <f ca="1"/>
        <v>0</v>
      </c>
      <c r="M33" t="b">
        <f ca="1"/>
        <v>0</v>
      </c>
      <c r="N33" t="b">
        <v>0</v>
      </c>
      <c r="O33" s="2"/>
      <c r="P33" s="15" t="s">
        <v>88</v>
      </c>
      <c r="Q33" s="2">
        <f>DATE($C$4+1,8,15)</f>
        <v>46249</v>
      </c>
      <c r="R33" s="91">
        <f t="shared" si="1"/>
        <v>6</v>
      </c>
      <c r="U33" s="1">
        <v>45888</v>
      </c>
    </row>
    <row r="34" spans="2:21" x14ac:dyDescent="0.2">
      <c r="B34" s="2">
        <v>45711</v>
      </c>
      <c r="C34" s="2" t="str">
        <f ca="1"/>
        <v>Not in scope</v>
      </c>
      <c r="D34" s="3">
        <v>7</v>
      </c>
      <c r="E34" s="3" t="b">
        <v>0</v>
      </c>
      <c r="F34" s="3" t="b">
        <v>0</v>
      </c>
      <c r="G34" s="3" t="b">
        <v>0</v>
      </c>
      <c r="H34" s="3" t="b">
        <v>0</v>
      </c>
      <c r="I34" s="3" t="b">
        <f ca="1"/>
        <v>0</v>
      </c>
      <c r="J34" s="3" t="str">
        <v>45711_ORIENTATION</v>
      </c>
      <c r="K34" s="3" t="b">
        <f ca="1"/>
        <v>0</v>
      </c>
      <c r="L34" s="3" t="b">
        <f ca="1"/>
        <v>0</v>
      </c>
      <c r="M34" t="b">
        <f ca="1"/>
        <v>0</v>
      </c>
      <c r="N34" t="b">
        <v>0</v>
      </c>
      <c r="O34" s="2"/>
      <c r="P34" s="15" t="s">
        <v>89</v>
      </c>
      <c r="Q34" s="2">
        <f>DATE($C$4+1,8,15)</f>
        <v>46249</v>
      </c>
      <c r="R34" s="91">
        <f t="shared" si="1"/>
        <v>6</v>
      </c>
      <c r="U34" s="1">
        <v>45889</v>
      </c>
    </row>
    <row r="35" spans="2:21" x14ac:dyDescent="0.2">
      <c r="B35" s="2">
        <v>45712</v>
      </c>
      <c r="C35" s="2" t="str">
        <f ca="1"/>
        <v>Not in scope</v>
      </c>
      <c r="D35" s="3">
        <v>1</v>
      </c>
      <c r="E35" s="3" t="b">
        <v>1</v>
      </c>
      <c r="F35" s="3" t="b">
        <v>0</v>
      </c>
      <c r="G35" s="3" t="b">
        <v>0</v>
      </c>
      <c r="H35" s="3" t="b">
        <v>0</v>
      </c>
      <c r="I35" s="3" t="b">
        <f ca="1"/>
        <v>0</v>
      </c>
      <c r="J35" s="3" t="str">
        <v>45712_ORIENTATION</v>
      </c>
      <c r="K35" s="3" t="b">
        <f ca="1"/>
        <v>0</v>
      </c>
      <c r="L35" s="3" t="b">
        <f ca="1"/>
        <v>0</v>
      </c>
      <c r="M35" t="b">
        <f ca="1"/>
        <v>0</v>
      </c>
      <c r="N35" t="b">
        <v>0</v>
      </c>
      <c r="O35" s="2"/>
      <c r="P35" s="15" t="s">
        <v>90</v>
      </c>
      <c r="Q35" s="2">
        <f>DATE($C$4+1,11,11)</f>
        <v>46337</v>
      </c>
      <c r="R35" s="91">
        <f t="shared" si="1"/>
        <v>3</v>
      </c>
      <c r="U35" s="1">
        <v>45890</v>
      </c>
    </row>
    <row r="36" spans="2:21" x14ac:dyDescent="0.2">
      <c r="B36" s="2">
        <v>45713</v>
      </c>
      <c r="C36" s="2" t="str">
        <f ca="1"/>
        <v>Not in scope</v>
      </c>
      <c r="D36" s="3">
        <v>2</v>
      </c>
      <c r="E36" s="3" t="b">
        <v>1</v>
      </c>
      <c r="F36" s="3" t="b">
        <v>0</v>
      </c>
      <c r="G36" s="3" t="b">
        <v>0</v>
      </c>
      <c r="H36" s="3" t="b">
        <v>0</v>
      </c>
      <c r="I36" s="3" t="b">
        <f ca="1"/>
        <v>0</v>
      </c>
      <c r="J36" s="3" t="str">
        <v>45713_ORIENTATION</v>
      </c>
      <c r="K36" s="3" t="b">
        <f ca="1"/>
        <v>0</v>
      </c>
      <c r="L36" s="3" t="b">
        <f ca="1"/>
        <v>0</v>
      </c>
      <c r="M36" t="b">
        <f ca="1"/>
        <v>0</v>
      </c>
      <c r="N36" t="b">
        <v>0</v>
      </c>
      <c r="O36" s="2"/>
      <c r="P36" s="15" t="s">
        <v>91</v>
      </c>
      <c r="Q36" s="2">
        <f>DATE($C$4+1,12,25)</f>
        <v>46381</v>
      </c>
      <c r="R36" s="91">
        <f t="shared" si="1"/>
        <v>5</v>
      </c>
      <c r="U36" s="1">
        <v>45891</v>
      </c>
    </row>
    <row r="37" spans="2:21" x14ac:dyDescent="0.2">
      <c r="B37" s="2">
        <v>45714</v>
      </c>
      <c r="C37" s="2" t="str">
        <f ca="1"/>
        <v>Not in scope</v>
      </c>
      <c r="D37" s="3">
        <v>3</v>
      </c>
      <c r="E37" s="3" t="b">
        <v>1</v>
      </c>
      <c r="F37" s="3" t="b">
        <v>0</v>
      </c>
      <c r="G37" s="3" t="b">
        <v>0</v>
      </c>
      <c r="H37" s="3" t="b">
        <v>0</v>
      </c>
      <c r="I37" s="3" t="b">
        <f ca="1"/>
        <v>0</v>
      </c>
      <c r="J37" s="3" t="str">
        <v>45714_ORIENTATION</v>
      </c>
      <c r="K37" s="3" t="b">
        <f ca="1"/>
        <v>0</v>
      </c>
      <c r="L37" s="3" t="b">
        <f ca="1"/>
        <v>0</v>
      </c>
      <c r="M37" t="b">
        <f ca="1"/>
        <v>0</v>
      </c>
      <c r="N37" t="b">
        <v>0</v>
      </c>
      <c r="O37" s="2"/>
      <c r="P37" s="99" t="s">
        <v>103</v>
      </c>
      <c r="Q37" s="99"/>
      <c r="U37" s="1">
        <v>45892</v>
      </c>
    </row>
    <row r="38" spans="2:21" x14ac:dyDescent="0.2">
      <c r="B38" s="2">
        <v>45715</v>
      </c>
      <c r="C38" s="2" t="str">
        <f ca="1"/>
        <v>Not in scope</v>
      </c>
      <c r="D38" s="3">
        <v>4</v>
      </c>
      <c r="E38" s="3" t="b">
        <v>1</v>
      </c>
      <c r="F38" s="3" t="b">
        <v>0</v>
      </c>
      <c r="G38" s="3" t="b">
        <v>0</v>
      </c>
      <c r="H38" s="3" t="b">
        <v>0</v>
      </c>
      <c r="I38" s="3" t="b">
        <f ca="1"/>
        <v>0</v>
      </c>
      <c r="J38" s="3" t="str">
        <v>45715_ORIENTATION</v>
      </c>
      <c r="K38" s="3" t="b">
        <f ca="1"/>
        <v>0</v>
      </c>
      <c r="L38" s="3" t="b">
        <f ca="1"/>
        <v>0</v>
      </c>
      <c r="M38" t="b">
        <f ca="1"/>
        <v>0</v>
      </c>
      <c r="N38" t="b">
        <v>0</v>
      </c>
      <c r="O38" s="2"/>
      <c r="U38" s="1">
        <v>45893</v>
      </c>
    </row>
    <row r="39" spans="2:21" x14ac:dyDescent="0.2">
      <c r="B39" s="2">
        <v>45716</v>
      </c>
      <c r="C39" s="2" t="str">
        <f ca="1"/>
        <v>Jour semaine</v>
      </c>
      <c r="D39" s="3">
        <v>5</v>
      </c>
      <c r="E39" s="3" t="b">
        <v>1</v>
      </c>
      <c r="F39" s="3" t="b">
        <v>0</v>
      </c>
      <c r="G39" s="3" t="b">
        <v>0</v>
      </c>
      <c r="H39" s="3" t="b">
        <v>0</v>
      </c>
      <c r="I39" s="3" t="b">
        <f ca="1"/>
        <v>0</v>
      </c>
      <c r="J39" s="3" t="str">
        <v>45716_ORIENTATION</v>
      </c>
      <c r="K39" s="3" t="b">
        <f ca="1"/>
        <v>0</v>
      </c>
      <c r="L39" s="3" t="b">
        <f ca="1"/>
        <v>0</v>
      </c>
      <c r="M39" t="b">
        <f ca="1"/>
        <v>0</v>
      </c>
      <c r="N39" t="b">
        <v>1</v>
      </c>
      <c r="O39" s="2"/>
      <c r="U39" s="1">
        <v>45894</v>
      </c>
    </row>
    <row r="40" spans="2:21" x14ac:dyDescent="0.2">
      <c r="B40" s="2">
        <v>45717</v>
      </c>
      <c r="C40" s="2" t="str">
        <f ca="1"/>
        <v>Not in scope</v>
      </c>
      <c r="D40" s="3">
        <v>6</v>
      </c>
      <c r="E40" s="3" t="b">
        <v>0</v>
      </c>
      <c r="F40" s="3" t="b">
        <v>0</v>
      </c>
      <c r="G40" s="3" t="b">
        <v>0</v>
      </c>
      <c r="H40" s="3" t="b">
        <v>0</v>
      </c>
      <c r="I40" s="3" t="b">
        <f ca="1"/>
        <v>0</v>
      </c>
      <c r="J40" s="3" t="str">
        <v>45717_ORIENTATION</v>
      </c>
      <c r="K40" s="3" t="b">
        <f ca="1"/>
        <v>0</v>
      </c>
      <c r="L40" s="3" t="b">
        <f ca="1"/>
        <v>0</v>
      </c>
      <c r="M40" t="b">
        <f ca="1"/>
        <v>0</v>
      </c>
      <c r="N40" t="b">
        <v>0</v>
      </c>
      <c r="O40" s="2"/>
      <c r="U40" s="1">
        <v>45895</v>
      </c>
    </row>
    <row r="41" spans="2:21" x14ac:dyDescent="0.2">
      <c r="B41" s="2">
        <v>45718</v>
      </c>
      <c r="C41" s="2" t="str">
        <f ca="1"/>
        <v>Not in scope</v>
      </c>
      <c r="D41" s="3">
        <v>7</v>
      </c>
      <c r="E41" s="3" t="b">
        <v>0</v>
      </c>
      <c r="F41" s="3" t="b">
        <v>0</v>
      </c>
      <c r="G41" s="3" t="b">
        <v>0</v>
      </c>
      <c r="H41" s="3" t="b">
        <v>0</v>
      </c>
      <c r="I41" s="3" t="b">
        <f ca="1"/>
        <v>0</v>
      </c>
      <c r="J41" s="3" t="str">
        <v>45718_ORIENTATION</v>
      </c>
      <c r="K41" s="3" t="b">
        <f ca="1"/>
        <v>0</v>
      </c>
      <c r="L41" s="3" t="b">
        <f ca="1"/>
        <v>0</v>
      </c>
      <c r="M41" t="b">
        <f ca="1"/>
        <v>0</v>
      </c>
      <c r="N41" t="b">
        <v>0</v>
      </c>
      <c r="O41" s="2"/>
      <c r="U41" s="1">
        <v>45896</v>
      </c>
    </row>
    <row r="42" spans="2:21" x14ac:dyDescent="0.2">
      <c r="B42" s="2">
        <v>45719</v>
      </c>
      <c r="C42" s="2" t="str">
        <f ca="1"/>
        <v>Not in scope</v>
      </c>
      <c r="D42" s="3">
        <v>1</v>
      </c>
      <c r="E42" s="3" t="b">
        <v>1</v>
      </c>
      <c r="F42" s="3" t="b">
        <v>0</v>
      </c>
      <c r="G42" s="3" t="b">
        <v>0</v>
      </c>
      <c r="H42" s="3" t="b">
        <v>0</v>
      </c>
      <c r="I42" s="3" t="b">
        <f ca="1"/>
        <v>0</v>
      </c>
      <c r="J42" s="3" t="str">
        <v>45719_ORIENTATION</v>
      </c>
      <c r="K42" s="3" t="b">
        <f ca="1"/>
        <v>0</v>
      </c>
      <c r="L42" s="3" t="b">
        <f ca="1"/>
        <v>0</v>
      </c>
      <c r="M42" t="b">
        <f ca="1"/>
        <v>0</v>
      </c>
      <c r="N42" t="b">
        <v>0</v>
      </c>
      <c r="O42" s="2"/>
      <c r="U42" s="1">
        <v>45897</v>
      </c>
    </row>
    <row r="43" spans="2:21" x14ac:dyDescent="0.2">
      <c r="B43" s="2">
        <v>45720</v>
      </c>
      <c r="C43" s="2" t="str">
        <f ca="1"/>
        <v>Not in scope</v>
      </c>
      <c r="D43" s="3">
        <v>2</v>
      </c>
      <c r="E43" s="3" t="b">
        <v>1</v>
      </c>
      <c r="F43" s="3" t="b">
        <v>0</v>
      </c>
      <c r="G43" s="3" t="b">
        <v>0</v>
      </c>
      <c r="H43" s="3" t="b">
        <v>0</v>
      </c>
      <c r="I43" s="3" t="b">
        <f ca="1"/>
        <v>0</v>
      </c>
      <c r="J43" s="3" t="str">
        <v>45720_ORIENTATION</v>
      </c>
      <c r="K43" s="3" t="b">
        <f ca="1"/>
        <v>0</v>
      </c>
      <c r="L43" s="3" t="b">
        <f ca="1"/>
        <v>0</v>
      </c>
      <c r="M43" t="b">
        <f ca="1"/>
        <v>0</v>
      </c>
      <c r="N43" t="b">
        <v>0</v>
      </c>
      <c r="O43" s="2"/>
      <c r="U43" s="1">
        <v>45898</v>
      </c>
    </row>
    <row r="44" spans="2:21" x14ac:dyDescent="0.2">
      <c r="B44" s="2">
        <v>45721</v>
      </c>
      <c r="C44" s="2" t="str">
        <f ca="1"/>
        <v>Not in scope</v>
      </c>
      <c r="D44" s="3">
        <v>3</v>
      </c>
      <c r="E44" s="3" t="b">
        <v>1</v>
      </c>
      <c r="F44" s="3" t="b">
        <v>0</v>
      </c>
      <c r="G44" s="3" t="b">
        <v>0</v>
      </c>
      <c r="H44" s="3" t="b">
        <v>0</v>
      </c>
      <c r="I44" s="3" t="b">
        <f ca="1"/>
        <v>0</v>
      </c>
      <c r="J44" s="3" t="str">
        <v>45721_ORIENTATION</v>
      </c>
      <c r="K44" s="3" t="b">
        <f ca="1"/>
        <v>0</v>
      </c>
      <c r="L44" s="3" t="b">
        <f ca="1"/>
        <v>0</v>
      </c>
      <c r="M44" t="b">
        <f ca="1"/>
        <v>0</v>
      </c>
      <c r="N44" t="b">
        <v>0</v>
      </c>
      <c r="O44" s="2"/>
      <c r="U44" s="1">
        <v>45899</v>
      </c>
    </row>
    <row r="45" spans="2:21" x14ac:dyDescent="0.2">
      <c r="B45" s="2">
        <v>45722</v>
      </c>
      <c r="C45" s="2" t="str">
        <f ca="1"/>
        <v>Not in scope</v>
      </c>
      <c r="D45" s="3">
        <v>4</v>
      </c>
      <c r="E45" s="3" t="b">
        <v>1</v>
      </c>
      <c r="F45" s="3" t="b">
        <v>0</v>
      </c>
      <c r="G45" s="3" t="b">
        <v>0</v>
      </c>
      <c r="H45" s="3" t="b">
        <v>0</v>
      </c>
      <c r="I45" s="3" t="b">
        <f ca="1"/>
        <v>0</v>
      </c>
      <c r="J45" s="3" t="str">
        <v>45722_ORIENTATION</v>
      </c>
      <c r="K45" s="3" t="b">
        <f ca="1"/>
        <v>0</v>
      </c>
      <c r="L45" s="3" t="b">
        <f ca="1"/>
        <v>0</v>
      </c>
      <c r="M45" t="b">
        <f ca="1"/>
        <v>0</v>
      </c>
      <c r="N45" t="b">
        <v>0</v>
      </c>
      <c r="O45" s="2"/>
      <c r="U45" s="1">
        <v>45900</v>
      </c>
    </row>
    <row r="46" spans="2:21" x14ac:dyDescent="0.2">
      <c r="B46" s="2">
        <v>45723</v>
      </c>
      <c r="C46" s="2" t="str">
        <f ca="1"/>
        <v>Jour semaine</v>
      </c>
      <c r="D46" s="3">
        <v>5</v>
      </c>
      <c r="E46" s="3" t="b">
        <v>1</v>
      </c>
      <c r="F46" s="3" t="b">
        <v>0</v>
      </c>
      <c r="G46" s="3" t="b">
        <v>0</v>
      </c>
      <c r="H46" s="3" t="b">
        <v>0</v>
      </c>
      <c r="I46" s="3" t="b">
        <f ca="1"/>
        <v>0</v>
      </c>
      <c r="J46" s="3" t="str">
        <v>45723_ORIENTATION</v>
      </c>
      <c r="K46" s="3" t="b">
        <f ca="1"/>
        <v>0</v>
      </c>
      <c r="L46" s="3" t="b">
        <f ca="1"/>
        <v>0</v>
      </c>
      <c r="M46" t="b">
        <f ca="1"/>
        <v>0</v>
      </c>
      <c r="N46" t="b">
        <v>1</v>
      </c>
      <c r="O46" s="2"/>
      <c r="U46" s="1">
        <v>45901</v>
      </c>
    </row>
    <row r="47" spans="2:21" x14ac:dyDescent="0.2">
      <c r="B47" s="2">
        <v>45724</v>
      </c>
      <c r="C47" s="2" t="str">
        <f ca="1"/>
        <v>Not in scope</v>
      </c>
      <c r="D47" s="3">
        <v>6</v>
      </c>
      <c r="E47" s="3" t="b">
        <v>0</v>
      </c>
      <c r="F47" s="3" t="b">
        <v>0</v>
      </c>
      <c r="G47" s="3" t="b">
        <v>0</v>
      </c>
      <c r="H47" s="3" t="b">
        <v>0</v>
      </c>
      <c r="I47" s="3" t="b">
        <f ca="1"/>
        <v>0</v>
      </c>
      <c r="J47" s="3" t="str">
        <v>45724_ORIENTATION</v>
      </c>
      <c r="K47" s="3" t="b">
        <f ca="1"/>
        <v>0</v>
      </c>
      <c r="L47" s="3" t="b">
        <f ca="1"/>
        <v>0</v>
      </c>
      <c r="M47" t="b">
        <f ca="1"/>
        <v>0</v>
      </c>
      <c r="N47" t="b">
        <v>0</v>
      </c>
      <c r="O47" s="2"/>
      <c r="U47" s="1">
        <v>45902</v>
      </c>
    </row>
    <row r="48" spans="2:21" x14ac:dyDescent="0.2">
      <c r="B48" s="2">
        <v>45725</v>
      </c>
      <c r="C48" s="2" t="str">
        <f ca="1"/>
        <v>Not in scope</v>
      </c>
      <c r="D48" s="3">
        <v>7</v>
      </c>
      <c r="E48" s="3" t="b">
        <v>0</v>
      </c>
      <c r="F48" s="3" t="b">
        <v>0</v>
      </c>
      <c r="G48" s="3" t="b">
        <v>0</v>
      </c>
      <c r="H48" s="3" t="b">
        <v>0</v>
      </c>
      <c r="I48" s="3" t="b">
        <f ca="1"/>
        <v>0</v>
      </c>
      <c r="J48" s="3" t="str">
        <v>45725_ORIENTATION</v>
      </c>
      <c r="K48" s="3" t="b">
        <f ca="1"/>
        <v>0</v>
      </c>
      <c r="L48" s="3" t="b">
        <f ca="1"/>
        <v>0</v>
      </c>
      <c r="M48" t="b">
        <f ca="1"/>
        <v>0</v>
      </c>
      <c r="N48" t="b">
        <v>0</v>
      </c>
      <c r="O48" s="2"/>
      <c r="U48" s="1">
        <v>45903</v>
      </c>
    </row>
    <row r="49" spans="2:29" x14ac:dyDescent="0.2">
      <c r="B49" s="2">
        <v>45726</v>
      </c>
      <c r="C49" s="2" t="str">
        <f ca="1"/>
        <v>Not in scope</v>
      </c>
      <c r="D49" s="3">
        <v>1</v>
      </c>
      <c r="E49" s="3" t="b">
        <v>1</v>
      </c>
      <c r="F49" s="3" t="b">
        <v>0</v>
      </c>
      <c r="G49" s="3" t="b">
        <v>0</v>
      </c>
      <c r="H49" s="3" t="b">
        <v>0</v>
      </c>
      <c r="I49" s="3" t="b">
        <f ca="1"/>
        <v>0</v>
      </c>
      <c r="J49" s="3" t="str">
        <v>45726_ORIENTATION</v>
      </c>
      <c r="K49" s="3" t="b">
        <f ca="1"/>
        <v>0</v>
      </c>
      <c r="L49" s="3" t="b">
        <f ca="1"/>
        <v>0</v>
      </c>
      <c r="M49" t="b">
        <f ca="1"/>
        <v>0</v>
      </c>
      <c r="N49" t="b">
        <v>0</v>
      </c>
      <c r="O49" s="2"/>
      <c r="U49" s="1">
        <v>45904</v>
      </c>
    </row>
    <row r="50" spans="2:29" x14ac:dyDescent="0.2">
      <c r="B50" s="2">
        <v>45727</v>
      </c>
      <c r="C50" s="2" t="str">
        <f ca="1"/>
        <v>Not in scope</v>
      </c>
      <c r="D50" s="3">
        <v>2</v>
      </c>
      <c r="E50" s="3" t="b">
        <v>1</v>
      </c>
      <c r="F50" s="3" t="b">
        <v>0</v>
      </c>
      <c r="G50" s="3" t="b">
        <v>0</v>
      </c>
      <c r="H50" s="3" t="b">
        <v>0</v>
      </c>
      <c r="I50" s="3" t="b">
        <f ca="1"/>
        <v>0</v>
      </c>
      <c r="J50" s="3" t="str">
        <v>45727_ORIENTATION</v>
      </c>
      <c r="K50" s="3" t="b">
        <f ca="1"/>
        <v>0</v>
      </c>
      <c r="L50" s="3" t="b">
        <f ca="1"/>
        <v>0</v>
      </c>
      <c r="M50" t="b">
        <f ca="1"/>
        <v>0</v>
      </c>
      <c r="N50" t="b">
        <v>0</v>
      </c>
      <c r="O50" s="2"/>
      <c r="U50" s="1">
        <v>45905</v>
      </c>
    </row>
    <row r="51" spans="2:29" x14ac:dyDescent="0.2">
      <c r="B51" s="2">
        <v>45728</v>
      </c>
      <c r="C51" s="2" t="str">
        <f ca="1"/>
        <v>Not in scope</v>
      </c>
      <c r="D51" s="3">
        <v>3</v>
      </c>
      <c r="E51" s="3" t="b">
        <v>1</v>
      </c>
      <c r="F51" s="3" t="b">
        <v>0</v>
      </c>
      <c r="G51" s="3" t="b">
        <v>0</v>
      </c>
      <c r="H51" s="3" t="b">
        <v>0</v>
      </c>
      <c r="I51" s="3" t="b">
        <f ca="1"/>
        <v>0</v>
      </c>
      <c r="J51" s="3" t="str">
        <v>45728_ORIENTATION</v>
      </c>
      <c r="K51" s="3" t="b">
        <f ca="1"/>
        <v>0</v>
      </c>
      <c r="L51" s="3" t="b">
        <f ca="1"/>
        <v>0</v>
      </c>
      <c r="M51" t="b">
        <f ca="1"/>
        <v>0</v>
      </c>
      <c r="N51" t="b">
        <v>0</v>
      </c>
      <c r="O51" s="2"/>
    </row>
    <row r="52" spans="2:29" x14ac:dyDescent="0.2">
      <c r="B52" s="2">
        <v>45729</v>
      </c>
      <c r="C52" s="2" t="str">
        <f ca="1"/>
        <v>Not in scope</v>
      </c>
      <c r="D52" s="3">
        <v>4</v>
      </c>
      <c r="E52" s="3" t="b">
        <v>1</v>
      </c>
      <c r="F52" s="3" t="b">
        <v>0</v>
      </c>
      <c r="G52" s="3" t="b">
        <v>0</v>
      </c>
      <c r="H52" s="3" t="b">
        <v>0</v>
      </c>
      <c r="I52" s="3" t="b">
        <f ca="1"/>
        <v>0</v>
      </c>
      <c r="J52" s="3" t="str">
        <v>45729_ORIENTATION</v>
      </c>
      <c r="K52" s="3" t="b">
        <f ca="1"/>
        <v>0</v>
      </c>
      <c r="L52" s="3" t="b">
        <f ca="1"/>
        <v>0</v>
      </c>
      <c r="M52" t="b">
        <f ca="1"/>
        <v>0</v>
      </c>
      <c r="N52" t="b">
        <v>0</v>
      </c>
      <c r="O52" s="2"/>
    </row>
    <row r="53" spans="2:29" x14ac:dyDescent="0.2">
      <c r="B53" s="2">
        <v>45730</v>
      </c>
      <c r="C53" s="2" t="str">
        <f ca="1"/>
        <v>Jour semaine</v>
      </c>
      <c r="D53" s="3">
        <v>5</v>
      </c>
      <c r="E53" s="3" t="b">
        <v>1</v>
      </c>
      <c r="F53" s="3" t="b">
        <v>0</v>
      </c>
      <c r="G53" s="3" t="b">
        <v>0</v>
      </c>
      <c r="H53" s="3" t="b">
        <v>0</v>
      </c>
      <c r="I53" s="3" t="b">
        <f ca="1"/>
        <v>0</v>
      </c>
      <c r="J53" s="3" t="str">
        <v>45730_ORIENTATION</v>
      </c>
      <c r="K53" s="3" t="b">
        <f ca="1"/>
        <v>0</v>
      </c>
      <c r="L53" s="3" t="b">
        <f ca="1"/>
        <v>0</v>
      </c>
      <c r="M53" t="b">
        <f ca="1"/>
        <v>0</v>
      </c>
      <c r="N53" t="b">
        <v>1</v>
      </c>
      <c r="O53" s="2"/>
    </row>
    <row r="54" spans="2:29" x14ac:dyDescent="0.2">
      <c r="B54" s="2">
        <v>45731</v>
      </c>
      <c r="C54" s="2" t="str">
        <f ca="1"/>
        <v>Not in scope</v>
      </c>
      <c r="D54" s="3">
        <v>6</v>
      </c>
      <c r="E54" s="3" t="b">
        <v>0</v>
      </c>
      <c r="F54" s="3" t="b">
        <v>0</v>
      </c>
      <c r="G54" s="3" t="b">
        <v>0</v>
      </c>
      <c r="H54" s="3" t="b">
        <v>0</v>
      </c>
      <c r="I54" s="3" t="b">
        <f ca="1"/>
        <v>0</v>
      </c>
      <c r="J54" s="3" t="str">
        <v>45731_ORIENTATION</v>
      </c>
      <c r="K54" s="3" t="b">
        <f ca="1"/>
        <v>0</v>
      </c>
      <c r="L54" s="3" t="b">
        <f ca="1"/>
        <v>0</v>
      </c>
      <c r="M54" t="b">
        <f ca="1"/>
        <v>0</v>
      </c>
      <c r="N54" t="b">
        <v>0</v>
      </c>
      <c r="O54" s="2"/>
      <c r="T54" s="97"/>
      <c r="U54" s="97"/>
      <c r="V54" s="2"/>
      <c r="W54" s="2"/>
      <c r="Y54" s="97"/>
      <c r="Z54" s="97"/>
      <c r="AB54" s="97"/>
      <c r="AC54" s="97"/>
    </row>
    <row r="55" spans="2:29" x14ac:dyDescent="0.2">
      <c r="B55" s="2">
        <v>45732</v>
      </c>
      <c r="C55" s="2" t="str">
        <f ca="1"/>
        <v>Not in scope</v>
      </c>
      <c r="D55" s="3">
        <v>7</v>
      </c>
      <c r="E55" s="3" t="b">
        <v>0</v>
      </c>
      <c r="F55" s="3" t="b">
        <v>0</v>
      </c>
      <c r="G55" s="3" t="b">
        <v>0</v>
      </c>
      <c r="H55" s="3" t="b">
        <v>0</v>
      </c>
      <c r="I55" s="3" t="b">
        <f ca="1"/>
        <v>0</v>
      </c>
      <c r="J55" s="3" t="str">
        <v>45732_ORIENTATION</v>
      </c>
      <c r="K55" s="3" t="b">
        <f ca="1"/>
        <v>0</v>
      </c>
      <c r="L55" s="3" t="b">
        <f ca="1"/>
        <v>0</v>
      </c>
      <c r="M55" t="b">
        <f ca="1"/>
        <v>0</v>
      </c>
      <c r="N55" t="b">
        <v>0</v>
      </c>
      <c r="O55" s="2"/>
    </row>
    <row r="56" spans="2:29" x14ac:dyDescent="0.2">
      <c r="B56" s="2">
        <v>45733</v>
      </c>
      <c r="C56" s="2" t="str">
        <f ca="1"/>
        <v>Not in scope</v>
      </c>
      <c r="D56" s="3">
        <v>1</v>
      </c>
      <c r="E56" s="3" t="b">
        <v>1</v>
      </c>
      <c r="F56" s="3" t="b">
        <v>0</v>
      </c>
      <c r="G56" s="3" t="b">
        <v>0</v>
      </c>
      <c r="H56" s="3" t="b">
        <v>0</v>
      </c>
      <c r="I56" s="3" t="b">
        <f ca="1"/>
        <v>0</v>
      </c>
      <c r="J56" s="3" t="str">
        <v>45733_ORIENTATION</v>
      </c>
      <c r="K56" s="3" t="b">
        <f ca="1"/>
        <v>0</v>
      </c>
      <c r="L56" s="3" t="b">
        <f ca="1"/>
        <v>0</v>
      </c>
      <c r="M56" t="b">
        <f ca="1"/>
        <v>0</v>
      </c>
      <c r="N56" t="b">
        <v>0</v>
      </c>
      <c r="O56" s="2"/>
    </row>
    <row r="57" spans="2:29" x14ac:dyDescent="0.2">
      <c r="B57" s="2">
        <v>45734</v>
      </c>
      <c r="C57" s="2" t="str">
        <f ca="1"/>
        <v>Not in scope</v>
      </c>
      <c r="D57" s="3">
        <v>2</v>
      </c>
      <c r="E57" s="3" t="b">
        <v>1</v>
      </c>
      <c r="F57" s="3" t="b">
        <v>0</v>
      </c>
      <c r="G57" s="3" t="b">
        <v>0</v>
      </c>
      <c r="H57" s="3" t="b">
        <v>0</v>
      </c>
      <c r="I57" s="3" t="b">
        <f ca="1"/>
        <v>0</v>
      </c>
      <c r="J57" s="3" t="str">
        <v>45734_ORIENTATION</v>
      </c>
      <c r="K57" s="3" t="b">
        <f ca="1"/>
        <v>0</v>
      </c>
      <c r="L57" s="3" t="b">
        <f ca="1"/>
        <v>0</v>
      </c>
      <c r="M57" t="b">
        <f ca="1"/>
        <v>0</v>
      </c>
      <c r="N57" t="b">
        <v>0</v>
      </c>
      <c r="O57" s="2"/>
    </row>
    <row r="58" spans="2:29" x14ac:dyDescent="0.2">
      <c r="B58" s="2">
        <v>45735</v>
      </c>
      <c r="C58" s="2" t="str">
        <f ca="1"/>
        <v>Not in scope</v>
      </c>
      <c r="D58" s="3">
        <v>3</v>
      </c>
      <c r="E58" s="3" t="b">
        <v>1</v>
      </c>
      <c r="F58" s="3" t="b">
        <v>0</v>
      </c>
      <c r="G58" s="3" t="b">
        <v>0</v>
      </c>
      <c r="H58" s="3" t="b">
        <v>0</v>
      </c>
      <c r="I58" s="3" t="b">
        <f ca="1"/>
        <v>0</v>
      </c>
      <c r="J58" s="3" t="str">
        <v>45735_ORIENTATION</v>
      </c>
      <c r="K58" s="3" t="b">
        <f ca="1"/>
        <v>0</v>
      </c>
      <c r="L58" s="3" t="b">
        <f ca="1"/>
        <v>0</v>
      </c>
      <c r="M58" t="b">
        <f ca="1"/>
        <v>0</v>
      </c>
      <c r="N58" t="b">
        <v>0</v>
      </c>
      <c r="O58" s="2"/>
    </row>
    <row r="59" spans="2:29" x14ac:dyDescent="0.2">
      <c r="B59" s="2">
        <v>45736</v>
      </c>
      <c r="C59" s="2" t="str">
        <f ca="1"/>
        <v>Not in scope</v>
      </c>
      <c r="D59" s="3">
        <v>4</v>
      </c>
      <c r="E59" s="3" t="b">
        <v>1</v>
      </c>
      <c r="F59" s="3" t="b">
        <v>0</v>
      </c>
      <c r="G59" s="3" t="b">
        <v>0</v>
      </c>
      <c r="H59" s="3" t="b">
        <v>0</v>
      </c>
      <c r="I59" s="3" t="b">
        <f ca="1"/>
        <v>0</v>
      </c>
      <c r="J59" s="3" t="str">
        <v>45736_ORIENTATION</v>
      </c>
      <c r="K59" s="3" t="b">
        <f ca="1"/>
        <v>0</v>
      </c>
      <c r="L59" s="3" t="b">
        <f ca="1"/>
        <v>0</v>
      </c>
      <c r="M59" t="b">
        <f ca="1"/>
        <v>0</v>
      </c>
      <c r="N59" t="b">
        <v>0</v>
      </c>
      <c r="O59" s="2"/>
    </row>
    <row r="60" spans="2:29" x14ac:dyDescent="0.2">
      <c r="B60" s="2">
        <v>45737</v>
      </c>
      <c r="C60" s="2" t="str">
        <f ca="1"/>
        <v>Jour semaine</v>
      </c>
      <c r="D60" s="3">
        <v>5</v>
      </c>
      <c r="E60" s="3" t="b">
        <v>1</v>
      </c>
      <c r="F60" s="3" t="b">
        <v>0</v>
      </c>
      <c r="G60" s="3" t="b">
        <v>0</v>
      </c>
      <c r="H60" s="3" t="b">
        <v>0</v>
      </c>
      <c r="I60" s="3" t="b">
        <f ca="1"/>
        <v>0</v>
      </c>
      <c r="J60" s="3" t="str">
        <v>45737_ORIENTATION</v>
      </c>
      <c r="K60" s="3" t="b">
        <f ca="1"/>
        <v>0</v>
      </c>
      <c r="L60" s="3" t="b">
        <f ca="1"/>
        <v>0</v>
      </c>
      <c r="M60" t="b">
        <f ca="1"/>
        <v>0</v>
      </c>
      <c r="N60" t="b">
        <v>1</v>
      </c>
      <c r="O60" s="2"/>
    </row>
    <row r="61" spans="2:29" x14ac:dyDescent="0.2">
      <c r="B61" s="2">
        <v>45738</v>
      </c>
      <c r="C61" s="2" t="str">
        <f ca="1"/>
        <v>Not in scope</v>
      </c>
      <c r="D61" s="3">
        <v>6</v>
      </c>
      <c r="E61" s="3" t="b">
        <v>0</v>
      </c>
      <c r="F61" s="3" t="b">
        <v>0</v>
      </c>
      <c r="G61" s="3" t="b">
        <v>0</v>
      </c>
      <c r="H61" s="3" t="b">
        <v>0</v>
      </c>
      <c r="I61" s="3" t="b">
        <f ca="1"/>
        <v>0</v>
      </c>
      <c r="J61" s="3" t="str">
        <v>45738_ORIENTATION</v>
      </c>
      <c r="K61" s="3" t="b">
        <f ca="1"/>
        <v>0</v>
      </c>
      <c r="L61" s="3" t="b">
        <f ca="1"/>
        <v>0</v>
      </c>
      <c r="M61" t="b">
        <f ca="1"/>
        <v>0</v>
      </c>
      <c r="N61" t="b">
        <v>0</v>
      </c>
      <c r="O61" s="2"/>
    </row>
    <row r="62" spans="2:29" x14ac:dyDescent="0.2">
      <c r="B62" s="2">
        <v>45739</v>
      </c>
      <c r="C62" s="2" t="str">
        <f ca="1"/>
        <v>Not in scope</v>
      </c>
      <c r="D62" s="3">
        <v>7</v>
      </c>
      <c r="E62" s="3" t="b">
        <v>0</v>
      </c>
      <c r="F62" s="3" t="b">
        <v>0</v>
      </c>
      <c r="G62" s="3" t="b">
        <v>0</v>
      </c>
      <c r="H62" s="3" t="b">
        <v>0</v>
      </c>
      <c r="I62" s="3" t="b">
        <f ca="1"/>
        <v>0</v>
      </c>
      <c r="J62" s="3" t="str">
        <v>45739_ORIENTATION</v>
      </c>
      <c r="K62" s="3" t="b">
        <f ca="1"/>
        <v>0</v>
      </c>
      <c r="L62" s="3" t="b">
        <f ca="1"/>
        <v>0</v>
      </c>
      <c r="M62" t="b">
        <f ca="1"/>
        <v>0</v>
      </c>
      <c r="N62" t="b">
        <v>0</v>
      </c>
      <c r="O62" s="2"/>
    </row>
    <row r="63" spans="2:29" x14ac:dyDescent="0.2">
      <c r="B63" s="2">
        <v>45740</v>
      </c>
      <c r="C63" s="2" t="str">
        <f ca="1"/>
        <v>Not in scope</v>
      </c>
      <c r="D63" s="3">
        <v>1</v>
      </c>
      <c r="E63" s="3" t="b">
        <v>1</v>
      </c>
      <c r="F63" s="3" t="b">
        <v>0</v>
      </c>
      <c r="G63" s="3" t="b">
        <v>0</v>
      </c>
      <c r="H63" s="3" t="b">
        <v>0</v>
      </c>
      <c r="I63" s="3" t="b">
        <f ca="1"/>
        <v>0</v>
      </c>
      <c r="J63" s="3" t="str">
        <v>45740_ORIENTATION</v>
      </c>
      <c r="K63" s="3" t="b">
        <f ca="1"/>
        <v>0</v>
      </c>
      <c r="L63" s="3" t="b">
        <f ca="1"/>
        <v>0</v>
      </c>
      <c r="M63" t="b">
        <f ca="1"/>
        <v>0</v>
      </c>
      <c r="N63" t="b">
        <v>0</v>
      </c>
      <c r="O63" s="2"/>
    </row>
    <row r="64" spans="2:29" x14ac:dyDescent="0.2">
      <c r="B64" s="2">
        <v>45741</v>
      </c>
      <c r="C64" s="2" t="str">
        <f ca="1"/>
        <v>Not in scope</v>
      </c>
      <c r="D64" s="3">
        <v>2</v>
      </c>
      <c r="E64" s="3" t="b">
        <v>1</v>
      </c>
      <c r="F64" s="3" t="b">
        <v>0</v>
      </c>
      <c r="G64" s="3" t="b">
        <v>0</v>
      </c>
      <c r="H64" s="3" t="b">
        <v>0</v>
      </c>
      <c r="I64" s="3" t="b">
        <f ca="1"/>
        <v>0</v>
      </c>
      <c r="J64" s="3" t="str">
        <v>45741_ORIENTATION</v>
      </c>
      <c r="K64" s="3" t="b">
        <f ca="1"/>
        <v>0</v>
      </c>
      <c r="L64" s="3" t="b">
        <f ca="1"/>
        <v>0</v>
      </c>
      <c r="M64" t="b">
        <f ca="1"/>
        <v>0</v>
      </c>
      <c r="N64" t="b">
        <v>0</v>
      </c>
      <c r="O64" s="2"/>
    </row>
    <row r="65" spans="2:15" x14ac:dyDescent="0.2">
      <c r="B65" s="2">
        <v>45742</v>
      </c>
      <c r="C65" s="2" t="str">
        <f ca="1"/>
        <v>Not in scope</v>
      </c>
      <c r="D65" s="3">
        <v>3</v>
      </c>
      <c r="E65" s="3" t="b">
        <v>1</v>
      </c>
      <c r="F65" s="3" t="b">
        <v>0</v>
      </c>
      <c r="G65" s="3" t="b">
        <v>0</v>
      </c>
      <c r="H65" s="3" t="b">
        <v>0</v>
      </c>
      <c r="I65" s="3" t="b">
        <f ca="1"/>
        <v>0</v>
      </c>
      <c r="J65" s="3" t="str">
        <v>45742_ORIENTATION</v>
      </c>
      <c r="K65" s="3" t="b">
        <f ca="1"/>
        <v>0</v>
      </c>
      <c r="L65" s="3" t="b">
        <f ca="1"/>
        <v>0</v>
      </c>
      <c r="M65" t="b">
        <f ca="1"/>
        <v>0</v>
      </c>
      <c r="N65" t="b">
        <v>0</v>
      </c>
      <c r="O65" s="2"/>
    </row>
    <row r="66" spans="2:15" x14ac:dyDescent="0.2">
      <c r="B66" s="2">
        <v>45743</v>
      </c>
      <c r="C66" s="2" t="str">
        <f ca="1"/>
        <v>Not in scope</v>
      </c>
      <c r="D66" s="3">
        <v>4</v>
      </c>
      <c r="E66" s="3" t="b">
        <v>1</v>
      </c>
      <c r="F66" s="3" t="b">
        <v>0</v>
      </c>
      <c r="G66" s="3" t="b">
        <v>0</v>
      </c>
      <c r="H66" s="3" t="b">
        <v>0</v>
      </c>
      <c r="I66" s="3" t="b">
        <f ca="1"/>
        <v>0</v>
      </c>
      <c r="J66" s="3" t="str">
        <v>45743_ORIENTATION</v>
      </c>
      <c r="K66" s="3" t="b">
        <f ca="1"/>
        <v>0</v>
      </c>
      <c r="L66" s="3" t="b">
        <f ca="1"/>
        <v>0</v>
      </c>
      <c r="M66" t="b">
        <f ca="1"/>
        <v>0</v>
      </c>
      <c r="N66" t="b">
        <v>0</v>
      </c>
      <c r="O66" s="2"/>
    </row>
    <row r="67" spans="2:15" x14ac:dyDescent="0.2">
      <c r="B67" s="2">
        <v>45744</v>
      </c>
      <c r="C67" s="2" t="str">
        <f ca="1"/>
        <v>Jour semaine</v>
      </c>
      <c r="D67" s="3">
        <v>5</v>
      </c>
      <c r="E67" s="3" t="b">
        <v>1</v>
      </c>
      <c r="F67" s="3" t="b">
        <v>0</v>
      </c>
      <c r="G67" s="3" t="b">
        <v>0</v>
      </c>
      <c r="H67" s="3" t="b">
        <v>0</v>
      </c>
      <c r="I67" s="3" t="b">
        <f ca="1"/>
        <v>0</v>
      </c>
      <c r="J67" s="3" t="str">
        <v>45744_ORIENTATION</v>
      </c>
      <c r="K67" s="3" t="b">
        <f ca="1"/>
        <v>0</v>
      </c>
      <c r="L67" s="3" t="b">
        <f ca="1"/>
        <v>0</v>
      </c>
      <c r="M67" t="b">
        <f ca="1"/>
        <v>0</v>
      </c>
      <c r="N67" t="b">
        <v>1</v>
      </c>
      <c r="O67" s="2"/>
    </row>
    <row r="68" spans="2:15" x14ac:dyDescent="0.2">
      <c r="B68" s="2">
        <v>45745</v>
      </c>
      <c r="C68" s="2" t="str">
        <f ca="1"/>
        <v>Not in scope</v>
      </c>
      <c r="D68" s="3">
        <v>6</v>
      </c>
      <c r="E68" s="3" t="b">
        <v>0</v>
      </c>
      <c r="F68" s="3" t="b">
        <v>0</v>
      </c>
      <c r="G68" s="3" t="b">
        <v>0</v>
      </c>
      <c r="H68" s="3" t="b">
        <v>0</v>
      </c>
      <c r="I68" s="3" t="b">
        <f ca="1"/>
        <v>0</v>
      </c>
      <c r="J68" s="3" t="str">
        <v>45745_ORIENTATION</v>
      </c>
      <c r="K68" s="3" t="b">
        <f ca="1"/>
        <v>0</v>
      </c>
      <c r="L68" s="3" t="b">
        <f ca="1"/>
        <v>0</v>
      </c>
      <c r="M68" t="b">
        <f ca="1"/>
        <v>0</v>
      </c>
      <c r="N68" t="b">
        <v>0</v>
      </c>
      <c r="O68" s="2"/>
    </row>
    <row r="69" spans="2:15" x14ac:dyDescent="0.2">
      <c r="B69" s="2">
        <v>45746</v>
      </c>
      <c r="C69" s="2" t="str">
        <f ca="1"/>
        <v>Not in scope</v>
      </c>
      <c r="D69" s="3">
        <v>7</v>
      </c>
      <c r="E69" s="3" t="b">
        <v>0</v>
      </c>
      <c r="F69" s="3" t="b">
        <v>0</v>
      </c>
      <c r="G69" s="3" t="b">
        <v>0</v>
      </c>
      <c r="H69" s="3" t="b">
        <v>0</v>
      </c>
      <c r="I69" s="3" t="b">
        <f ca="1"/>
        <v>0</v>
      </c>
      <c r="J69" s="3" t="str">
        <v>45746_ORIENTATION</v>
      </c>
      <c r="K69" s="3" t="b">
        <f ca="1"/>
        <v>0</v>
      </c>
      <c r="L69" s="3" t="b">
        <f ca="1"/>
        <v>0</v>
      </c>
      <c r="M69" t="b">
        <f ca="1"/>
        <v>0</v>
      </c>
      <c r="N69" t="b">
        <v>0</v>
      </c>
      <c r="O69" s="2"/>
    </row>
    <row r="70" spans="2:15" x14ac:dyDescent="0.2">
      <c r="B70" s="2">
        <v>45747</v>
      </c>
      <c r="C70" s="2" t="str">
        <f ca="1"/>
        <v>Not in scope</v>
      </c>
      <c r="D70" s="3">
        <v>1</v>
      </c>
      <c r="E70" s="3" t="b">
        <v>1</v>
      </c>
      <c r="F70" s="3" t="b">
        <v>0</v>
      </c>
      <c r="G70" s="3" t="b">
        <v>0</v>
      </c>
      <c r="H70" s="3" t="b">
        <v>0</v>
      </c>
      <c r="I70" s="3" t="b">
        <f ca="1"/>
        <v>0</v>
      </c>
      <c r="J70" s="3" t="str">
        <v>45747_ORIENTATION</v>
      </c>
      <c r="K70" s="3" t="b">
        <f ca="1"/>
        <v>0</v>
      </c>
      <c r="L70" s="3" t="b">
        <f ca="1"/>
        <v>0</v>
      </c>
      <c r="M70" t="b">
        <f ca="1"/>
        <v>0</v>
      </c>
      <c r="N70" t="b">
        <v>0</v>
      </c>
      <c r="O70" s="2"/>
    </row>
    <row r="71" spans="2:15" x14ac:dyDescent="0.2">
      <c r="B71" s="2">
        <v>45748</v>
      </c>
      <c r="C71" s="2" t="str">
        <f ca="1"/>
        <v>Not in scope</v>
      </c>
      <c r="D71" s="3">
        <v>2</v>
      </c>
      <c r="E71" s="3" t="b">
        <v>1</v>
      </c>
      <c r="F71" s="3" t="b">
        <v>0</v>
      </c>
      <c r="G71" s="3" t="b">
        <v>0</v>
      </c>
      <c r="H71" s="3" t="b">
        <v>0</v>
      </c>
      <c r="I71" s="3" t="b">
        <f ca="1"/>
        <v>0</v>
      </c>
      <c r="J71" s="3" t="str">
        <v>45748_ORIENTATION</v>
      </c>
      <c r="K71" s="3" t="b">
        <f ca="1"/>
        <v>0</v>
      </c>
      <c r="L71" s="3" t="b">
        <f ca="1"/>
        <v>0</v>
      </c>
      <c r="M71" t="b">
        <f ca="1"/>
        <v>0</v>
      </c>
      <c r="N71" t="b">
        <v>0</v>
      </c>
      <c r="O71" s="2"/>
    </row>
    <row r="72" spans="2:15" x14ac:dyDescent="0.2">
      <c r="B72" s="2">
        <v>45749</v>
      </c>
      <c r="C72" s="2" t="str">
        <f ca="1"/>
        <v>Not in scope</v>
      </c>
      <c r="D72" s="3">
        <v>3</v>
      </c>
      <c r="E72" s="3" t="b">
        <v>1</v>
      </c>
      <c r="F72" s="3" t="b">
        <v>0</v>
      </c>
      <c r="G72" s="3" t="b">
        <v>0</v>
      </c>
      <c r="H72" s="3" t="b">
        <v>0</v>
      </c>
      <c r="I72" s="3" t="b">
        <f ca="1"/>
        <v>0</v>
      </c>
      <c r="J72" s="3" t="str">
        <v>45749_ORIENTATION</v>
      </c>
      <c r="K72" s="3" t="b">
        <f ca="1"/>
        <v>0</v>
      </c>
      <c r="L72" s="3" t="b">
        <f ca="1"/>
        <v>0</v>
      </c>
      <c r="M72" t="b">
        <f ca="1"/>
        <v>0</v>
      </c>
      <c r="N72" t="b">
        <v>0</v>
      </c>
      <c r="O72" s="2"/>
    </row>
    <row r="73" spans="2:15" x14ac:dyDescent="0.2">
      <c r="B73" s="2">
        <v>45750</v>
      </c>
      <c r="C73" s="2" t="str">
        <f ca="1"/>
        <v>Not in scope</v>
      </c>
      <c r="D73" s="3">
        <v>4</v>
      </c>
      <c r="E73" s="3" t="b">
        <v>1</v>
      </c>
      <c r="F73" s="3" t="b">
        <v>0</v>
      </c>
      <c r="G73" s="3" t="b">
        <v>0</v>
      </c>
      <c r="H73" s="3" t="b">
        <v>0</v>
      </c>
      <c r="I73" s="3" t="b">
        <f ca="1"/>
        <v>0</v>
      </c>
      <c r="J73" s="3" t="str">
        <v>45750_ORIENTATION</v>
      </c>
      <c r="K73" s="3" t="b">
        <f ca="1"/>
        <v>0</v>
      </c>
      <c r="L73" s="3" t="b">
        <f ca="1"/>
        <v>0</v>
      </c>
      <c r="M73" t="b">
        <f ca="1"/>
        <v>0</v>
      </c>
      <c r="N73" t="b">
        <v>0</v>
      </c>
      <c r="O73" s="2"/>
    </row>
    <row r="74" spans="2:15" x14ac:dyDescent="0.2">
      <c r="B74" s="2">
        <v>45751</v>
      </c>
      <c r="C74" s="2" t="str">
        <f ca="1"/>
        <v>Jour semaine</v>
      </c>
      <c r="D74" s="3">
        <v>5</v>
      </c>
      <c r="E74" s="3" t="b">
        <v>1</v>
      </c>
      <c r="F74" s="3" t="b">
        <v>0</v>
      </c>
      <c r="G74" s="3" t="b">
        <v>0</v>
      </c>
      <c r="H74" s="3" t="b">
        <v>0</v>
      </c>
      <c r="I74" s="3" t="b">
        <f ca="1"/>
        <v>0</v>
      </c>
      <c r="J74" s="3" t="str">
        <v>45751_ORIENTATION</v>
      </c>
      <c r="K74" s="3" t="b">
        <f ca="1"/>
        <v>0</v>
      </c>
      <c r="L74" s="3" t="b">
        <f ca="1"/>
        <v>0</v>
      </c>
      <c r="M74" t="b">
        <f ca="1"/>
        <v>0</v>
      </c>
      <c r="N74" t="b">
        <v>1</v>
      </c>
      <c r="O74" s="2"/>
    </row>
    <row r="75" spans="2:15" x14ac:dyDescent="0.2">
      <c r="B75" s="2">
        <v>45752</v>
      </c>
      <c r="C75" s="2" t="str">
        <f ca="1"/>
        <v>Not in scope</v>
      </c>
      <c r="D75" s="3">
        <v>6</v>
      </c>
      <c r="E75" s="3" t="b">
        <v>0</v>
      </c>
      <c r="F75" s="3" t="b">
        <v>0</v>
      </c>
      <c r="G75" s="3" t="b">
        <v>0</v>
      </c>
      <c r="H75" s="3" t="b">
        <v>0</v>
      </c>
      <c r="I75" s="3" t="b">
        <f ca="1"/>
        <v>0</v>
      </c>
      <c r="J75" s="3" t="str">
        <v>45752_ORIENTATION</v>
      </c>
      <c r="K75" s="3" t="b">
        <f ca="1"/>
        <v>0</v>
      </c>
      <c r="L75" s="3" t="b">
        <f ca="1"/>
        <v>0</v>
      </c>
      <c r="M75" t="b">
        <f ca="1"/>
        <v>0</v>
      </c>
      <c r="N75" t="b">
        <v>0</v>
      </c>
      <c r="O75" s="2"/>
    </row>
    <row r="76" spans="2:15" x14ac:dyDescent="0.2">
      <c r="B76" s="2">
        <v>45753</v>
      </c>
      <c r="C76" s="2" t="str">
        <f ca="1"/>
        <v>Not in scope</v>
      </c>
      <c r="D76" s="3">
        <v>7</v>
      </c>
      <c r="E76" s="3" t="b">
        <v>0</v>
      </c>
      <c r="F76" s="3" t="b">
        <v>0</v>
      </c>
      <c r="G76" s="3" t="b">
        <v>0</v>
      </c>
      <c r="H76" s="3" t="b">
        <v>0</v>
      </c>
      <c r="I76" s="3" t="b">
        <f ca="1"/>
        <v>0</v>
      </c>
      <c r="J76" s="3" t="str">
        <v>45753_ORIENTATION</v>
      </c>
      <c r="K76" s="3" t="b">
        <f ca="1"/>
        <v>0</v>
      </c>
      <c r="L76" s="3" t="b">
        <f ca="1"/>
        <v>0</v>
      </c>
      <c r="M76" t="b">
        <f ca="1"/>
        <v>0</v>
      </c>
      <c r="N76" t="b">
        <v>0</v>
      </c>
      <c r="O76" s="2"/>
    </row>
    <row r="77" spans="2:15" x14ac:dyDescent="0.2">
      <c r="B77" s="2">
        <v>45754</v>
      </c>
      <c r="C77" s="2" t="str">
        <f ca="1"/>
        <v>Not in scope</v>
      </c>
      <c r="D77" s="3">
        <v>1</v>
      </c>
      <c r="E77" s="3" t="b">
        <v>1</v>
      </c>
      <c r="F77" s="3" t="b">
        <v>0</v>
      </c>
      <c r="G77" s="3" t="b">
        <v>0</v>
      </c>
      <c r="H77" s="3" t="b">
        <v>0</v>
      </c>
      <c r="I77" s="3" t="b">
        <f ca="1"/>
        <v>0</v>
      </c>
      <c r="J77" s="3" t="str">
        <v>45754_ORIENTATION</v>
      </c>
      <c r="K77" s="3" t="b">
        <f ca="1"/>
        <v>0</v>
      </c>
      <c r="L77" s="3" t="b">
        <f ca="1"/>
        <v>0</v>
      </c>
      <c r="M77" t="b">
        <f ca="1"/>
        <v>0</v>
      </c>
      <c r="N77" t="b">
        <v>0</v>
      </c>
      <c r="O77" s="2"/>
    </row>
    <row r="78" spans="2:15" x14ac:dyDescent="0.2">
      <c r="B78" s="2">
        <v>45755</v>
      </c>
      <c r="C78" s="2" t="str">
        <f ca="1"/>
        <v>Not in scope</v>
      </c>
      <c r="D78" s="3">
        <v>2</v>
      </c>
      <c r="E78" s="3" t="b">
        <v>1</v>
      </c>
      <c r="F78" s="3" t="b">
        <v>0</v>
      </c>
      <c r="G78" s="3" t="b">
        <v>0</v>
      </c>
      <c r="H78" s="3" t="b">
        <v>0</v>
      </c>
      <c r="I78" s="3" t="b">
        <f ca="1"/>
        <v>0</v>
      </c>
      <c r="J78" s="3" t="str">
        <v>45755_ORIENTATION</v>
      </c>
      <c r="K78" s="3" t="b">
        <f ca="1"/>
        <v>0</v>
      </c>
      <c r="L78" s="3" t="b">
        <f ca="1"/>
        <v>0</v>
      </c>
      <c r="M78" t="b">
        <f ca="1"/>
        <v>0</v>
      </c>
      <c r="N78" t="b">
        <v>0</v>
      </c>
      <c r="O78" s="2"/>
    </row>
    <row r="79" spans="2:15" x14ac:dyDescent="0.2">
      <c r="B79" s="2">
        <v>45756</v>
      </c>
      <c r="C79" s="2" t="str">
        <f ca="1"/>
        <v>Not in scope</v>
      </c>
      <c r="D79" s="3">
        <v>3</v>
      </c>
      <c r="E79" s="3" t="b">
        <v>1</v>
      </c>
      <c r="F79" s="3" t="b">
        <v>0</v>
      </c>
      <c r="G79" s="3" t="b">
        <v>0</v>
      </c>
      <c r="H79" s="3" t="b">
        <v>0</v>
      </c>
      <c r="I79" s="3" t="b">
        <f ca="1"/>
        <v>0</v>
      </c>
      <c r="J79" s="3" t="str">
        <v>45756_ORIENTATION</v>
      </c>
      <c r="K79" s="3" t="b">
        <f ca="1"/>
        <v>0</v>
      </c>
      <c r="L79" s="3" t="b">
        <f ca="1"/>
        <v>0</v>
      </c>
      <c r="M79" t="b">
        <f ca="1"/>
        <v>0</v>
      </c>
      <c r="N79" t="b">
        <v>0</v>
      </c>
      <c r="O79" s="2"/>
    </row>
    <row r="80" spans="2:15" x14ac:dyDescent="0.2">
      <c r="B80" s="2">
        <v>45757</v>
      </c>
      <c r="C80" s="2" t="str">
        <f ca="1"/>
        <v>Not in scope</v>
      </c>
      <c r="D80" s="3">
        <v>4</v>
      </c>
      <c r="E80" s="3" t="b">
        <v>1</v>
      </c>
      <c r="F80" s="3" t="b">
        <v>0</v>
      </c>
      <c r="G80" s="3" t="b">
        <v>0</v>
      </c>
      <c r="H80" s="3" t="b">
        <v>0</v>
      </c>
      <c r="I80" s="3" t="b">
        <f ca="1"/>
        <v>0</v>
      </c>
      <c r="J80" s="3" t="str">
        <v>45757_ORIENTATION</v>
      </c>
      <c r="K80" s="3" t="b">
        <f ca="1"/>
        <v>0</v>
      </c>
      <c r="L80" s="3" t="b">
        <f ca="1"/>
        <v>0</v>
      </c>
      <c r="M80" t="b">
        <f ca="1"/>
        <v>0</v>
      </c>
      <c r="N80" t="b">
        <v>0</v>
      </c>
      <c r="O80" s="2"/>
    </row>
    <row r="81" spans="2:15" x14ac:dyDescent="0.2">
      <c r="B81" s="2">
        <v>45758</v>
      </c>
      <c r="C81" s="2" t="str">
        <f ca="1"/>
        <v>Jour semaine</v>
      </c>
      <c r="D81" s="3">
        <v>5</v>
      </c>
      <c r="E81" s="3" t="b">
        <v>1</v>
      </c>
      <c r="F81" s="3" t="b">
        <v>0</v>
      </c>
      <c r="G81" s="3" t="b">
        <v>0</v>
      </c>
      <c r="H81" s="3" t="b">
        <v>0</v>
      </c>
      <c r="I81" s="3" t="b">
        <f ca="1"/>
        <v>0</v>
      </c>
      <c r="J81" s="3" t="str">
        <v>45758_ORIENTATION</v>
      </c>
      <c r="K81" s="3" t="b">
        <f ca="1"/>
        <v>0</v>
      </c>
      <c r="L81" s="3" t="b">
        <f ca="1"/>
        <v>0</v>
      </c>
      <c r="M81" t="b">
        <f ca="1"/>
        <v>0</v>
      </c>
      <c r="N81" t="b">
        <v>1</v>
      </c>
      <c r="O81" s="2"/>
    </row>
    <row r="82" spans="2:15" x14ac:dyDescent="0.2">
      <c r="B82" s="2">
        <v>45759</v>
      </c>
      <c r="C82" s="2" t="str">
        <f ca="1"/>
        <v>Not in scope</v>
      </c>
      <c r="D82" s="3">
        <v>6</v>
      </c>
      <c r="E82" s="3" t="b">
        <v>0</v>
      </c>
      <c r="F82" s="3" t="b">
        <v>0</v>
      </c>
      <c r="G82" s="3" t="b">
        <v>0</v>
      </c>
      <c r="H82" s="3" t="b">
        <v>0</v>
      </c>
      <c r="I82" s="3" t="b">
        <f ca="1"/>
        <v>0</v>
      </c>
      <c r="J82" s="3" t="str">
        <v>45759_ORIENTATION</v>
      </c>
      <c r="K82" s="3" t="b">
        <f ca="1"/>
        <v>0</v>
      </c>
      <c r="L82" s="3" t="b">
        <f ca="1"/>
        <v>0</v>
      </c>
      <c r="M82" t="b">
        <f ca="1"/>
        <v>0</v>
      </c>
      <c r="N82" t="b">
        <v>0</v>
      </c>
      <c r="O82" s="2"/>
    </row>
    <row r="83" spans="2:15" x14ac:dyDescent="0.2">
      <c r="B83" s="2">
        <v>45760</v>
      </c>
      <c r="C83" s="2" t="str">
        <f ca="1"/>
        <v>Not in scope</v>
      </c>
      <c r="D83" s="3">
        <v>7</v>
      </c>
      <c r="E83" s="3" t="b">
        <v>0</v>
      </c>
      <c r="F83" s="3" t="b">
        <v>0</v>
      </c>
      <c r="G83" s="3" t="b">
        <v>0</v>
      </c>
      <c r="H83" s="3" t="b">
        <v>0</v>
      </c>
      <c r="I83" s="3" t="b">
        <f ca="1"/>
        <v>0</v>
      </c>
      <c r="J83" s="3" t="str">
        <v>45760_ORIENTATION</v>
      </c>
      <c r="K83" s="3" t="b">
        <f ca="1"/>
        <v>0</v>
      </c>
      <c r="L83" s="3" t="b">
        <f ca="1"/>
        <v>0</v>
      </c>
      <c r="M83" t="b">
        <f ca="1"/>
        <v>0</v>
      </c>
      <c r="N83" t="b">
        <v>0</v>
      </c>
      <c r="O83" s="2"/>
    </row>
    <row r="84" spans="2:15" x14ac:dyDescent="0.2">
      <c r="B84" s="2">
        <v>45761</v>
      </c>
      <c r="C84" s="2" t="str">
        <f ca="1"/>
        <v>Not in scope</v>
      </c>
      <c r="D84" s="3">
        <v>1</v>
      </c>
      <c r="E84" s="3" t="b">
        <v>1</v>
      </c>
      <c r="F84" s="3" t="b">
        <v>0</v>
      </c>
      <c r="G84" s="3" t="b">
        <v>0</v>
      </c>
      <c r="H84" s="3" t="b">
        <v>0</v>
      </c>
      <c r="I84" s="3" t="b">
        <f ca="1"/>
        <v>0</v>
      </c>
      <c r="J84" s="3" t="str">
        <v>45761_ORIENTATION</v>
      </c>
      <c r="K84" s="3" t="b">
        <f ca="1"/>
        <v>0</v>
      </c>
      <c r="L84" s="3" t="b">
        <f ca="1"/>
        <v>0</v>
      </c>
      <c r="M84" t="b">
        <f ca="1"/>
        <v>0</v>
      </c>
      <c r="N84" t="b">
        <v>0</v>
      </c>
      <c r="O84" s="2"/>
    </row>
    <row r="85" spans="2:15" x14ac:dyDescent="0.2">
      <c r="B85" s="2">
        <v>45762</v>
      </c>
      <c r="C85" s="2" t="str">
        <f ca="1"/>
        <v>Not in scope</v>
      </c>
      <c r="D85" s="3">
        <v>2</v>
      </c>
      <c r="E85" s="3" t="b">
        <v>1</v>
      </c>
      <c r="F85" s="3" t="b">
        <v>0</v>
      </c>
      <c r="G85" s="3" t="b">
        <v>0</v>
      </c>
      <c r="H85" s="3" t="b">
        <v>0</v>
      </c>
      <c r="I85" s="3" t="b">
        <f ca="1"/>
        <v>0</v>
      </c>
      <c r="J85" s="3" t="str">
        <v>45762_ORIENTATION</v>
      </c>
      <c r="K85" s="3" t="b">
        <f ca="1"/>
        <v>0</v>
      </c>
      <c r="L85" s="3" t="b">
        <f ca="1"/>
        <v>0</v>
      </c>
      <c r="M85" t="b">
        <f ca="1"/>
        <v>0</v>
      </c>
      <c r="N85" t="b">
        <v>0</v>
      </c>
      <c r="O85" s="2"/>
    </row>
    <row r="86" spans="2:15" x14ac:dyDescent="0.2">
      <c r="B86" s="2">
        <v>45763</v>
      </c>
      <c r="C86" s="2" t="str">
        <f ca="1"/>
        <v>Not in scope</v>
      </c>
      <c r="D86" s="3">
        <v>3</v>
      </c>
      <c r="E86" s="3" t="b">
        <v>1</v>
      </c>
      <c r="F86" s="3" t="b">
        <v>0</v>
      </c>
      <c r="G86" s="3" t="b">
        <v>0</v>
      </c>
      <c r="H86" s="3" t="b">
        <v>0</v>
      </c>
      <c r="I86" s="3" t="b">
        <f ca="1"/>
        <v>0</v>
      </c>
      <c r="J86" s="3" t="str">
        <v>45763_ORIENTATION</v>
      </c>
      <c r="K86" s="3" t="b">
        <f ca="1"/>
        <v>0</v>
      </c>
      <c r="L86" s="3" t="b">
        <f ca="1"/>
        <v>0</v>
      </c>
      <c r="M86" t="b">
        <f ca="1"/>
        <v>0</v>
      </c>
      <c r="N86" t="b">
        <v>0</v>
      </c>
      <c r="O86" s="2"/>
    </row>
    <row r="87" spans="2:15" x14ac:dyDescent="0.2">
      <c r="B87" s="2">
        <v>45764</v>
      </c>
      <c r="C87" s="2" t="str">
        <f ca="1"/>
        <v>Not in scope</v>
      </c>
      <c r="D87" s="3">
        <v>4</v>
      </c>
      <c r="E87" s="3" t="b">
        <v>1</v>
      </c>
      <c r="F87" s="3" t="b">
        <v>0</v>
      </c>
      <c r="G87" s="3" t="b">
        <v>0</v>
      </c>
      <c r="H87" s="3" t="b">
        <v>0</v>
      </c>
      <c r="I87" s="3" t="b">
        <f ca="1"/>
        <v>0</v>
      </c>
      <c r="J87" s="3" t="str">
        <v>45764_ORIENTATION</v>
      </c>
      <c r="K87" s="3" t="b">
        <f ca="1"/>
        <v>0</v>
      </c>
      <c r="L87" s="3" t="b">
        <f ca="1"/>
        <v>0</v>
      </c>
      <c r="M87" t="b">
        <f ca="1"/>
        <v>0</v>
      </c>
      <c r="N87" t="b">
        <v>0</v>
      </c>
      <c r="O87" s="2"/>
    </row>
    <row r="88" spans="2:15" x14ac:dyDescent="0.2">
      <c r="B88" s="2">
        <v>45765</v>
      </c>
      <c r="C88" s="2" t="str">
        <f ca="1"/>
        <v>Jour semaine</v>
      </c>
      <c r="D88" s="3">
        <v>5</v>
      </c>
      <c r="E88" s="3" t="b">
        <v>1</v>
      </c>
      <c r="F88" s="3" t="b">
        <v>0</v>
      </c>
      <c r="G88" s="3" t="b">
        <v>0</v>
      </c>
      <c r="H88" s="3" t="b">
        <v>0</v>
      </c>
      <c r="I88" s="3" t="b">
        <f ca="1"/>
        <v>0</v>
      </c>
      <c r="J88" s="3" t="str">
        <v>45765_ORIENTATION</v>
      </c>
      <c r="K88" s="3" t="b">
        <f ca="1"/>
        <v>0</v>
      </c>
      <c r="L88" s="3" t="b">
        <f ca="1"/>
        <v>0</v>
      </c>
      <c r="M88" t="b">
        <f ca="1"/>
        <v>0</v>
      </c>
      <c r="N88" t="b">
        <v>1</v>
      </c>
      <c r="O88" s="2"/>
    </row>
    <row r="89" spans="2:15" x14ac:dyDescent="0.2">
      <c r="B89" s="2">
        <v>45766</v>
      </c>
      <c r="C89" s="2" t="str">
        <f ca="1"/>
        <v>Not in scope</v>
      </c>
      <c r="D89" s="3">
        <v>6</v>
      </c>
      <c r="E89" s="3" t="b">
        <v>0</v>
      </c>
      <c r="F89" s="3" t="b">
        <v>0</v>
      </c>
      <c r="G89" s="3" t="b">
        <v>0</v>
      </c>
      <c r="H89" s="3" t="b">
        <v>0</v>
      </c>
      <c r="I89" s="3" t="b">
        <f ca="1"/>
        <v>0</v>
      </c>
      <c r="J89" s="3" t="str">
        <v>45766_ORIENTATION</v>
      </c>
      <c r="K89" s="3" t="b">
        <f ca="1"/>
        <v>0</v>
      </c>
      <c r="L89" s="3" t="b">
        <f ca="1"/>
        <v>0</v>
      </c>
      <c r="M89" t="b">
        <f ca="1"/>
        <v>0</v>
      </c>
      <c r="N89" t="b">
        <v>0</v>
      </c>
      <c r="O89" s="2"/>
    </row>
    <row r="90" spans="2:15" x14ac:dyDescent="0.2">
      <c r="B90" s="2">
        <v>45767</v>
      </c>
      <c r="C90" s="2" t="str">
        <f ca="1"/>
        <v>Not in scope</v>
      </c>
      <c r="D90" s="3">
        <v>7</v>
      </c>
      <c r="E90" s="3" t="b">
        <v>0</v>
      </c>
      <c r="F90" s="3" t="b">
        <v>1</v>
      </c>
      <c r="G90" s="3" t="b">
        <v>0</v>
      </c>
      <c r="H90" s="3" t="b">
        <v>0</v>
      </c>
      <c r="I90" s="3" t="b">
        <f ca="1"/>
        <v>0</v>
      </c>
      <c r="J90" s="3" t="str">
        <v>45767_ORIENTATION</v>
      </c>
      <c r="K90" s="3" t="b">
        <f ca="1"/>
        <v>0</v>
      </c>
      <c r="L90" s="3" t="b">
        <f ca="1"/>
        <v>0</v>
      </c>
      <c r="M90" t="b">
        <f ca="1"/>
        <v>0</v>
      </c>
      <c r="N90" t="b">
        <v>0</v>
      </c>
      <c r="O90" s="2"/>
    </row>
    <row r="91" spans="2:15" x14ac:dyDescent="0.2">
      <c r="B91" s="2">
        <v>45768</v>
      </c>
      <c r="C91" s="2" t="str">
        <f ca="1"/>
        <v>Not in scope</v>
      </c>
      <c r="D91" s="3">
        <v>1</v>
      </c>
      <c r="E91" s="3" t="b">
        <v>1</v>
      </c>
      <c r="F91" s="3" t="b">
        <v>1</v>
      </c>
      <c r="G91" s="3" t="b">
        <v>0</v>
      </c>
      <c r="H91" s="3" t="b">
        <v>0</v>
      </c>
      <c r="I91" s="3" t="b">
        <f ca="1"/>
        <v>0</v>
      </c>
      <c r="J91" s="3" t="str">
        <v>45768_ORIENTATION</v>
      </c>
      <c r="K91" s="3" t="b">
        <f ca="1"/>
        <v>0</v>
      </c>
      <c r="L91" s="3" t="b">
        <f ca="1"/>
        <v>0</v>
      </c>
      <c r="M91" t="b">
        <f ca="1"/>
        <v>0</v>
      </c>
      <c r="N91" t="b">
        <v>0</v>
      </c>
      <c r="O91" s="2"/>
    </row>
    <row r="92" spans="2:15" x14ac:dyDescent="0.2">
      <c r="B92" s="2">
        <v>45769</v>
      </c>
      <c r="C92" s="2" t="str">
        <f ca="1"/>
        <v>Not in scope</v>
      </c>
      <c r="D92" s="3">
        <v>2</v>
      </c>
      <c r="E92" s="3" t="b">
        <v>1</v>
      </c>
      <c r="F92" s="3" t="b">
        <v>0</v>
      </c>
      <c r="G92" s="3" t="b">
        <v>0</v>
      </c>
      <c r="H92" s="3" t="b">
        <v>0</v>
      </c>
      <c r="I92" s="3" t="b">
        <f ca="1"/>
        <v>0</v>
      </c>
      <c r="J92" s="3" t="str">
        <v>45769_ORIENTATION</v>
      </c>
      <c r="K92" s="3" t="b">
        <f ca="1"/>
        <v>0</v>
      </c>
      <c r="L92" s="3" t="b">
        <f ca="1"/>
        <v>0</v>
      </c>
      <c r="M92" t="b">
        <f ca="1"/>
        <v>0</v>
      </c>
      <c r="N92" t="b">
        <v>0</v>
      </c>
      <c r="O92" s="2"/>
    </row>
    <row r="93" spans="2:15" x14ac:dyDescent="0.2">
      <c r="B93" s="2">
        <v>45770</v>
      </c>
      <c r="C93" s="2" t="str">
        <f ca="1"/>
        <v>Not in scope</v>
      </c>
      <c r="D93" s="3">
        <v>3</v>
      </c>
      <c r="E93" s="3" t="b">
        <v>1</v>
      </c>
      <c r="F93" s="3" t="b">
        <v>0</v>
      </c>
      <c r="G93" s="3" t="b">
        <v>0</v>
      </c>
      <c r="H93" s="3" t="b">
        <v>0</v>
      </c>
      <c r="I93" s="3" t="b">
        <f ca="1"/>
        <v>0</v>
      </c>
      <c r="J93" s="3" t="str">
        <v>45770_ORIENTATION</v>
      </c>
      <c r="K93" s="3" t="b">
        <f ca="1"/>
        <v>0</v>
      </c>
      <c r="L93" s="3" t="b">
        <f ca="1"/>
        <v>0</v>
      </c>
      <c r="M93" t="b">
        <f ca="1"/>
        <v>0</v>
      </c>
      <c r="N93" t="b">
        <v>0</v>
      </c>
      <c r="O93" s="2"/>
    </row>
    <row r="94" spans="2:15" x14ac:dyDescent="0.2">
      <c r="B94" s="2">
        <v>45771</v>
      </c>
      <c r="C94" s="2" t="str">
        <f ca="1"/>
        <v>Not in scope</v>
      </c>
      <c r="D94" s="3">
        <v>4</v>
      </c>
      <c r="E94" s="3" t="b">
        <v>1</v>
      </c>
      <c r="F94" s="3" t="b">
        <v>0</v>
      </c>
      <c r="G94" s="3" t="b">
        <v>0</v>
      </c>
      <c r="H94" s="3" t="b">
        <v>0</v>
      </c>
      <c r="I94" s="3" t="b">
        <f ca="1"/>
        <v>0</v>
      </c>
      <c r="J94" s="3" t="str">
        <v>45771_ORIENTATION</v>
      </c>
      <c r="K94" s="3" t="b">
        <f ca="1"/>
        <v>0</v>
      </c>
      <c r="L94" s="3" t="b">
        <f ca="1"/>
        <v>0</v>
      </c>
      <c r="M94" t="b">
        <f ca="1"/>
        <v>0</v>
      </c>
      <c r="N94" t="b">
        <v>0</v>
      </c>
      <c r="O94" s="2"/>
    </row>
    <row r="95" spans="2:15" x14ac:dyDescent="0.2">
      <c r="B95" s="2">
        <v>45772</v>
      </c>
      <c r="C95" s="2" t="str">
        <f ca="1"/>
        <v>Jour semaine</v>
      </c>
      <c r="D95" s="3">
        <v>5</v>
      </c>
      <c r="E95" s="3" t="b">
        <v>1</v>
      </c>
      <c r="F95" s="3" t="b">
        <v>0</v>
      </c>
      <c r="G95" s="3" t="b">
        <v>0</v>
      </c>
      <c r="H95" s="3" t="b">
        <v>0</v>
      </c>
      <c r="I95" s="3" t="b">
        <f ca="1"/>
        <v>0</v>
      </c>
      <c r="J95" s="3" t="str">
        <v>45772_ORIENTATION</v>
      </c>
      <c r="K95" s="3" t="b">
        <f ca="1"/>
        <v>0</v>
      </c>
      <c r="L95" s="3" t="b">
        <f ca="1"/>
        <v>0</v>
      </c>
      <c r="M95" t="b">
        <f ca="1"/>
        <v>0</v>
      </c>
      <c r="N95" t="b">
        <v>1</v>
      </c>
      <c r="O95" s="2"/>
    </row>
    <row r="96" spans="2:15" x14ac:dyDescent="0.2">
      <c r="B96" s="2">
        <v>45773</v>
      </c>
      <c r="C96" s="2" t="str">
        <f ca="1"/>
        <v>Not in scope</v>
      </c>
      <c r="D96" s="3">
        <v>6</v>
      </c>
      <c r="E96" s="3" t="b">
        <v>0</v>
      </c>
      <c r="F96" s="3" t="b">
        <v>0</v>
      </c>
      <c r="G96" s="3" t="b">
        <v>0</v>
      </c>
      <c r="H96" s="3" t="b">
        <v>0</v>
      </c>
      <c r="I96" s="3" t="b">
        <f ca="1"/>
        <v>0</v>
      </c>
      <c r="J96" s="3" t="str">
        <v>45773_ORIENTATION</v>
      </c>
      <c r="K96" s="3" t="b">
        <f ca="1"/>
        <v>0</v>
      </c>
      <c r="L96" s="3" t="b">
        <f ca="1"/>
        <v>0</v>
      </c>
      <c r="M96" t="b">
        <f ca="1"/>
        <v>0</v>
      </c>
      <c r="N96" t="b">
        <v>0</v>
      </c>
      <c r="O96" s="2"/>
    </row>
    <row r="97" spans="2:15" x14ac:dyDescent="0.2">
      <c r="B97" s="2">
        <v>45774</v>
      </c>
      <c r="C97" s="2" t="str">
        <f ca="1"/>
        <v>Not in scope</v>
      </c>
      <c r="D97" s="3">
        <v>7</v>
      </c>
      <c r="E97" s="3" t="b">
        <v>0</v>
      </c>
      <c r="F97" s="3" t="b">
        <v>0</v>
      </c>
      <c r="G97" s="3" t="b">
        <v>0</v>
      </c>
      <c r="H97" s="3" t="b">
        <v>0</v>
      </c>
      <c r="I97" s="3" t="b">
        <f ca="1"/>
        <v>0</v>
      </c>
      <c r="J97" s="3" t="str">
        <v>45774_ORIENTATION</v>
      </c>
      <c r="K97" s="3" t="b">
        <f ca="1"/>
        <v>0</v>
      </c>
      <c r="L97" s="3" t="b">
        <f ca="1"/>
        <v>0</v>
      </c>
      <c r="M97" t="b">
        <f ca="1"/>
        <v>0</v>
      </c>
      <c r="N97" t="b">
        <v>0</v>
      </c>
      <c r="O97" s="2"/>
    </row>
    <row r="98" spans="2:15" x14ac:dyDescent="0.2">
      <c r="B98" s="2">
        <v>45775</v>
      </c>
      <c r="C98" s="2" t="str">
        <f ca="1"/>
        <v>Not in scope</v>
      </c>
      <c r="D98" s="3">
        <v>1</v>
      </c>
      <c r="E98" s="3" t="b">
        <v>1</v>
      </c>
      <c r="F98" s="3" t="b">
        <v>0</v>
      </c>
      <c r="G98" s="3" t="b">
        <v>0</v>
      </c>
      <c r="H98" s="3" t="b">
        <v>0</v>
      </c>
      <c r="I98" s="3" t="b">
        <f ca="1"/>
        <v>0</v>
      </c>
      <c r="J98" s="3" t="str">
        <v>45775_ORIENTATION</v>
      </c>
      <c r="K98" s="3" t="b">
        <f ca="1"/>
        <v>0</v>
      </c>
      <c r="L98" s="3" t="b">
        <f ca="1"/>
        <v>0</v>
      </c>
      <c r="M98" t="b">
        <f ca="1"/>
        <v>0</v>
      </c>
      <c r="N98" t="b">
        <v>0</v>
      </c>
      <c r="O98" s="2"/>
    </row>
    <row r="99" spans="2:15" x14ac:dyDescent="0.2">
      <c r="B99" s="2">
        <v>45776</v>
      </c>
      <c r="C99" s="2" t="str">
        <f ca="1"/>
        <v>Not in scope</v>
      </c>
      <c r="D99" s="3">
        <v>2</v>
      </c>
      <c r="E99" s="3" t="b">
        <v>1</v>
      </c>
      <c r="F99" s="3" t="b">
        <v>0</v>
      </c>
      <c r="G99" s="3" t="b">
        <v>0</v>
      </c>
      <c r="H99" s="3" t="b">
        <v>0</v>
      </c>
      <c r="I99" s="3" t="b">
        <f ca="1"/>
        <v>0</v>
      </c>
      <c r="J99" s="3" t="str">
        <v>45776_ORIENTATION</v>
      </c>
      <c r="K99" s="3" t="b">
        <f ca="1"/>
        <v>0</v>
      </c>
      <c r="L99" s="3" t="b">
        <f ca="1"/>
        <v>0</v>
      </c>
      <c r="M99" t="b">
        <f ca="1"/>
        <v>0</v>
      </c>
      <c r="N99" t="b">
        <v>0</v>
      </c>
      <c r="O99" s="2"/>
    </row>
    <row r="100" spans="2:15" x14ac:dyDescent="0.2">
      <c r="B100" s="2">
        <v>45777</v>
      </c>
      <c r="C100" s="2" t="str">
        <f ca="1"/>
        <v>Not in scope</v>
      </c>
      <c r="D100" s="3">
        <v>3</v>
      </c>
      <c r="E100" s="3" t="b">
        <v>1</v>
      </c>
      <c r="F100" s="3" t="b">
        <v>0</v>
      </c>
      <c r="G100" s="3" t="b">
        <v>0</v>
      </c>
      <c r="H100" s="3" t="b">
        <v>0</v>
      </c>
      <c r="I100" s="3" t="b">
        <f ca="1"/>
        <v>0</v>
      </c>
      <c r="J100" s="3" t="str">
        <v>45777_ORIENTATION</v>
      </c>
      <c r="K100" s="3" t="b">
        <f ca="1"/>
        <v>0</v>
      </c>
      <c r="L100" s="3" t="b">
        <f ca="1"/>
        <v>0</v>
      </c>
      <c r="M100" t="b">
        <f ca="1"/>
        <v>0</v>
      </c>
      <c r="N100" t="b">
        <v>0</v>
      </c>
      <c r="O100" s="2"/>
    </row>
    <row r="101" spans="2:15" x14ac:dyDescent="0.2">
      <c r="B101" s="2">
        <v>45778</v>
      </c>
      <c r="C101" s="2" t="str">
        <f ca="1"/>
        <v>Not in scope</v>
      </c>
      <c r="D101" s="3">
        <v>4</v>
      </c>
      <c r="E101" s="3" t="b">
        <v>1</v>
      </c>
      <c r="F101" s="3" t="b">
        <v>1</v>
      </c>
      <c r="G101" s="3" t="b">
        <v>0</v>
      </c>
      <c r="H101" s="3" t="b">
        <v>0</v>
      </c>
      <c r="I101" s="3" t="b">
        <f ca="1"/>
        <v>0</v>
      </c>
      <c r="J101" s="3" t="str">
        <v>45778_ORIENTATION</v>
      </c>
      <c r="K101" s="3" t="b">
        <f ca="1"/>
        <v>0</v>
      </c>
      <c r="L101" s="3" t="b">
        <f ca="1"/>
        <v>0</v>
      </c>
      <c r="M101" t="b">
        <f ca="1"/>
        <v>0</v>
      </c>
      <c r="N101" t="b">
        <v>0</v>
      </c>
      <c r="O101" s="2"/>
    </row>
    <row r="102" spans="2:15" x14ac:dyDescent="0.2">
      <c r="B102" s="2">
        <v>45779</v>
      </c>
      <c r="C102" s="2" t="str">
        <f ca="1"/>
        <v>Pas audience</v>
      </c>
      <c r="D102" s="3">
        <v>5</v>
      </c>
      <c r="E102" s="3" t="b">
        <v>1</v>
      </c>
      <c r="F102" s="3" t="b">
        <v>0</v>
      </c>
      <c r="G102" s="3" t="b">
        <v>0</v>
      </c>
      <c r="H102" s="3" t="b">
        <v>0</v>
      </c>
      <c r="I102" s="3" t="b">
        <f ca="1"/>
        <v>0</v>
      </c>
      <c r="J102" s="3" t="str">
        <v>45779_ORIENTATION</v>
      </c>
      <c r="K102" s="3" t="b">
        <f ca="1"/>
        <v>0</v>
      </c>
      <c r="L102" s="3" t="b">
        <f ca="1"/>
        <v>0</v>
      </c>
      <c r="M102" t="b">
        <f ca="1"/>
        <v>1</v>
      </c>
      <c r="N102" t="b">
        <v>1</v>
      </c>
      <c r="O102" s="2"/>
    </row>
    <row r="103" spans="2:15" x14ac:dyDescent="0.2">
      <c r="B103" s="2">
        <v>45780</v>
      </c>
      <c r="C103" s="2" t="str">
        <f ca="1"/>
        <v>Not in scope</v>
      </c>
      <c r="D103" s="3">
        <v>6</v>
      </c>
      <c r="E103" s="3" t="b">
        <v>0</v>
      </c>
      <c r="F103" s="3" t="b">
        <v>0</v>
      </c>
      <c r="G103" s="3" t="b">
        <v>0</v>
      </c>
      <c r="H103" s="3" t="b">
        <v>0</v>
      </c>
      <c r="I103" s="3" t="b">
        <f ca="1"/>
        <v>0</v>
      </c>
      <c r="J103" s="3" t="str">
        <v>45780_ORIENTATION</v>
      </c>
      <c r="K103" s="3" t="b">
        <f ca="1"/>
        <v>0</v>
      </c>
      <c r="L103" s="3" t="b">
        <f ca="1"/>
        <v>0</v>
      </c>
      <c r="M103" t="b">
        <f ca="1"/>
        <v>0</v>
      </c>
      <c r="N103" t="b">
        <v>0</v>
      </c>
      <c r="O103" s="2"/>
    </row>
    <row r="104" spans="2:15" x14ac:dyDescent="0.2">
      <c r="B104" s="2">
        <v>45781</v>
      </c>
      <c r="C104" s="2" t="str">
        <f ca="1"/>
        <v>Not in scope</v>
      </c>
      <c r="D104" s="3">
        <v>7</v>
      </c>
      <c r="E104" s="3" t="b">
        <v>0</v>
      </c>
      <c r="F104" s="3" t="b">
        <v>0</v>
      </c>
      <c r="G104" s="3" t="b">
        <v>0</v>
      </c>
      <c r="H104" s="3" t="b">
        <v>0</v>
      </c>
      <c r="I104" s="3" t="b">
        <f ca="1"/>
        <v>0</v>
      </c>
      <c r="J104" s="3" t="str">
        <v>45781_ORIENTATION</v>
      </c>
      <c r="K104" s="3" t="b">
        <f ca="1"/>
        <v>0</v>
      </c>
      <c r="L104" s="3" t="b">
        <f ca="1"/>
        <v>0</v>
      </c>
      <c r="M104" t="b">
        <f ca="1"/>
        <v>0</v>
      </c>
      <c r="N104" t="b">
        <v>0</v>
      </c>
      <c r="O104" s="2"/>
    </row>
    <row r="105" spans="2:15" x14ac:dyDescent="0.2">
      <c r="B105" s="2">
        <v>45782</v>
      </c>
      <c r="C105" s="2" t="str">
        <f ca="1"/>
        <v>Not in scope</v>
      </c>
      <c r="D105" s="3">
        <v>1</v>
      </c>
      <c r="E105" s="3" t="b">
        <v>1</v>
      </c>
      <c r="F105" s="3" t="b">
        <v>0</v>
      </c>
      <c r="G105" s="3" t="b">
        <v>0</v>
      </c>
      <c r="H105" s="3" t="b">
        <v>0</v>
      </c>
      <c r="I105" s="3" t="b">
        <f ca="1"/>
        <v>0</v>
      </c>
      <c r="J105" s="3" t="str">
        <v>45782_ORIENTATION</v>
      </c>
      <c r="K105" s="3" t="b">
        <f ca="1"/>
        <v>0</v>
      </c>
      <c r="L105" s="3" t="b">
        <f ca="1"/>
        <v>0</v>
      </c>
      <c r="M105" t="b">
        <f ca="1"/>
        <v>0</v>
      </c>
      <c r="N105" t="b">
        <v>0</v>
      </c>
      <c r="O105" s="2"/>
    </row>
    <row r="106" spans="2:15" x14ac:dyDescent="0.2">
      <c r="B106" s="2">
        <v>45783</v>
      </c>
      <c r="C106" s="2" t="str">
        <f ca="1"/>
        <v>Not in scope</v>
      </c>
      <c r="D106" s="3">
        <v>2</v>
      </c>
      <c r="E106" s="3" t="b">
        <v>1</v>
      </c>
      <c r="F106" s="3" t="b">
        <v>0</v>
      </c>
      <c r="G106" s="3" t="b">
        <v>0</v>
      </c>
      <c r="H106" s="3" t="b">
        <v>0</v>
      </c>
      <c r="I106" s="3" t="b">
        <f ca="1"/>
        <v>0</v>
      </c>
      <c r="J106" s="3" t="str">
        <v>45783_ORIENTATION</v>
      </c>
      <c r="K106" s="3" t="b">
        <f ca="1"/>
        <v>0</v>
      </c>
      <c r="L106" s="3" t="b">
        <f ca="1"/>
        <v>0</v>
      </c>
      <c r="M106" t="b">
        <f ca="1"/>
        <v>0</v>
      </c>
      <c r="N106" t="b">
        <v>0</v>
      </c>
      <c r="O106" s="2"/>
    </row>
    <row r="107" spans="2:15" x14ac:dyDescent="0.2">
      <c r="B107" s="2">
        <v>45784</v>
      </c>
      <c r="C107" s="2" t="str">
        <f ca="1"/>
        <v>Not in scope</v>
      </c>
      <c r="D107" s="3">
        <v>3</v>
      </c>
      <c r="E107" s="3" t="b">
        <v>1</v>
      </c>
      <c r="F107" s="3" t="b">
        <v>0</v>
      </c>
      <c r="G107" s="3" t="b">
        <v>0</v>
      </c>
      <c r="H107" s="3" t="b">
        <v>0</v>
      </c>
      <c r="I107" s="3" t="b">
        <f ca="1"/>
        <v>0</v>
      </c>
      <c r="J107" s="3" t="str">
        <v>45784_ORIENTATION</v>
      </c>
      <c r="K107" s="3" t="b">
        <f ca="1"/>
        <v>0</v>
      </c>
      <c r="L107" s="3" t="b">
        <f ca="1"/>
        <v>0</v>
      </c>
      <c r="M107" t="b">
        <f ca="1"/>
        <v>0</v>
      </c>
      <c r="N107" t="b">
        <v>0</v>
      </c>
      <c r="O107" s="2"/>
    </row>
    <row r="108" spans="2:15" x14ac:dyDescent="0.2">
      <c r="B108" s="2">
        <v>45785</v>
      </c>
      <c r="C108" s="2" t="str">
        <f ca="1"/>
        <v>Not in scope</v>
      </c>
      <c r="D108" s="3">
        <v>4</v>
      </c>
      <c r="E108" s="3" t="b">
        <v>1</v>
      </c>
      <c r="F108" s="3" t="b">
        <v>1</v>
      </c>
      <c r="G108" s="3" t="b">
        <v>0</v>
      </c>
      <c r="H108" s="3" t="b">
        <v>0</v>
      </c>
      <c r="I108" s="3" t="b">
        <f ca="1"/>
        <v>0</v>
      </c>
      <c r="J108" s="3" t="str">
        <v>45785_ORIENTATION</v>
      </c>
      <c r="K108" s="3" t="b">
        <f ca="1"/>
        <v>0</v>
      </c>
      <c r="L108" s="3" t="b">
        <f ca="1"/>
        <v>0</v>
      </c>
      <c r="M108" t="b">
        <f ca="1"/>
        <v>0</v>
      </c>
      <c r="N108" t="b">
        <v>0</v>
      </c>
      <c r="O108" s="2"/>
    </row>
    <row r="109" spans="2:15" x14ac:dyDescent="0.2">
      <c r="B109" s="2">
        <v>45786</v>
      </c>
      <c r="C109" s="2" t="str">
        <f ca="1"/>
        <v>Jour semaine</v>
      </c>
      <c r="D109" s="3">
        <v>5</v>
      </c>
      <c r="E109" s="3" t="b">
        <v>1</v>
      </c>
      <c r="F109" s="3" t="b">
        <v>0</v>
      </c>
      <c r="G109" s="3" t="b">
        <v>0</v>
      </c>
      <c r="H109" s="3" t="b">
        <v>0</v>
      </c>
      <c r="I109" s="3" t="b">
        <f ca="1"/>
        <v>0</v>
      </c>
      <c r="J109" s="3" t="str">
        <v>45786_ORIENTATION</v>
      </c>
      <c r="K109" s="3" t="b">
        <f ca="1"/>
        <v>0</v>
      </c>
      <c r="L109" s="3" t="b">
        <f ca="1"/>
        <v>0</v>
      </c>
      <c r="M109" t="b">
        <f ca="1"/>
        <v>0</v>
      </c>
      <c r="N109" t="b">
        <v>1</v>
      </c>
      <c r="O109" s="2"/>
    </row>
    <row r="110" spans="2:15" x14ac:dyDescent="0.2">
      <c r="B110" s="2">
        <v>45787</v>
      </c>
      <c r="C110" s="2" t="str">
        <f ca="1"/>
        <v>Not in scope</v>
      </c>
      <c r="D110" s="3">
        <v>6</v>
      </c>
      <c r="E110" s="3" t="b">
        <v>0</v>
      </c>
      <c r="F110" s="3" t="b">
        <v>0</v>
      </c>
      <c r="G110" s="3" t="b">
        <v>0</v>
      </c>
      <c r="H110" s="3" t="b">
        <v>0</v>
      </c>
      <c r="I110" s="3" t="b">
        <f ca="1"/>
        <v>0</v>
      </c>
      <c r="J110" s="3" t="str">
        <v>45787_ORIENTATION</v>
      </c>
      <c r="K110" s="3" t="b">
        <f ca="1"/>
        <v>0</v>
      </c>
      <c r="L110" s="3" t="b">
        <f ca="1"/>
        <v>0</v>
      </c>
      <c r="M110" t="b">
        <f ca="1"/>
        <v>0</v>
      </c>
      <c r="N110" t="b">
        <v>0</v>
      </c>
      <c r="O110" s="2"/>
    </row>
    <row r="111" spans="2:15" x14ac:dyDescent="0.2">
      <c r="B111" s="2">
        <v>45788</v>
      </c>
      <c r="C111" s="2" t="str">
        <f ca="1"/>
        <v>Not in scope</v>
      </c>
      <c r="D111" s="3">
        <v>7</v>
      </c>
      <c r="E111" s="3" t="b">
        <v>0</v>
      </c>
      <c r="F111" s="3" t="b">
        <v>0</v>
      </c>
      <c r="G111" s="3" t="b">
        <v>0</v>
      </c>
      <c r="H111" s="3" t="b">
        <v>0</v>
      </c>
      <c r="I111" s="3" t="b">
        <f ca="1"/>
        <v>0</v>
      </c>
      <c r="J111" s="3" t="str">
        <v>45788_ORIENTATION</v>
      </c>
      <c r="K111" s="3" t="b">
        <f ca="1"/>
        <v>0</v>
      </c>
      <c r="L111" s="3" t="b">
        <f ca="1"/>
        <v>0</v>
      </c>
      <c r="M111" t="b">
        <f ca="1"/>
        <v>0</v>
      </c>
      <c r="N111" t="b">
        <v>0</v>
      </c>
      <c r="O111" s="2"/>
    </row>
    <row r="112" spans="2:15" x14ac:dyDescent="0.2">
      <c r="B112" s="2">
        <v>45789</v>
      </c>
      <c r="C112" s="2" t="str">
        <f ca="1"/>
        <v>Not in scope</v>
      </c>
      <c r="D112" s="3">
        <v>1</v>
      </c>
      <c r="E112" s="3" t="b">
        <v>1</v>
      </c>
      <c r="F112" s="3" t="b">
        <v>0</v>
      </c>
      <c r="G112" s="3" t="b">
        <v>0</v>
      </c>
      <c r="H112" s="3" t="b">
        <v>0</v>
      </c>
      <c r="I112" s="3" t="b">
        <f ca="1"/>
        <v>0</v>
      </c>
      <c r="J112" s="3" t="str">
        <v>45789_ORIENTATION</v>
      </c>
      <c r="K112" s="3" t="b">
        <f ca="1"/>
        <v>0</v>
      </c>
      <c r="L112" s="3" t="b">
        <f ca="1"/>
        <v>0</v>
      </c>
      <c r="M112" t="b">
        <f ca="1"/>
        <v>0</v>
      </c>
      <c r="N112" t="b">
        <v>0</v>
      </c>
      <c r="O112" s="2"/>
    </row>
    <row r="113" spans="2:15" x14ac:dyDescent="0.2">
      <c r="B113" s="2">
        <v>45790</v>
      </c>
      <c r="C113" s="2" t="str">
        <f ca="1"/>
        <v>Not in scope</v>
      </c>
      <c r="D113" s="3">
        <v>2</v>
      </c>
      <c r="E113" s="3" t="b">
        <v>1</v>
      </c>
      <c r="F113" s="3" t="b">
        <v>0</v>
      </c>
      <c r="G113" s="3" t="b">
        <v>0</v>
      </c>
      <c r="H113" s="3" t="b">
        <v>0</v>
      </c>
      <c r="I113" s="3" t="b">
        <f ca="1"/>
        <v>0</v>
      </c>
      <c r="J113" s="3" t="str">
        <v>45790_ORIENTATION</v>
      </c>
      <c r="K113" s="3" t="b">
        <f ca="1"/>
        <v>0</v>
      </c>
      <c r="L113" s="3" t="b">
        <f ca="1"/>
        <v>0</v>
      </c>
      <c r="M113" t="b">
        <f ca="1"/>
        <v>0</v>
      </c>
      <c r="N113" t="b">
        <v>0</v>
      </c>
      <c r="O113" s="2"/>
    </row>
    <row r="114" spans="2:15" x14ac:dyDescent="0.2">
      <c r="B114" s="2">
        <v>45791</v>
      </c>
      <c r="C114" s="2" t="str">
        <f ca="1"/>
        <v>Not in scope</v>
      </c>
      <c r="D114" s="3">
        <v>3</v>
      </c>
      <c r="E114" s="3" t="b">
        <v>1</v>
      </c>
      <c r="F114" s="3" t="b">
        <v>0</v>
      </c>
      <c r="G114" s="3" t="b">
        <v>0</v>
      </c>
      <c r="H114" s="3" t="b">
        <v>0</v>
      </c>
      <c r="I114" s="3" t="b">
        <f ca="1"/>
        <v>0</v>
      </c>
      <c r="J114" s="3" t="str">
        <v>45791_ORIENTATION</v>
      </c>
      <c r="K114" s="3" t="b">
        <f ca="1"/>
        <v>0</v>
      </c>
      <c r="L114" s="3" t="b">
        <f ca="1"/>
        <v>0</v>
      </c>
      <c r="M114" t="b">
        <f ca="1"/>
        <v>0</v>
      </c>
      <c r="N114" t="b">
        <v>0</v>
      </c>
      <c r="O114" s="2"/>
    </row>
    <row r="115" spans="2:15" x14ac:dyDescent="0.2">
      <c r="B115" s="2">
        <v>45792</v>
      </c>
      <c r="C115" s="2" t="str">
        <f ca="1"/>
        <v>Not in scope</v>
      </c>
      <c r="D115" s="3">
        <v>4</v>
      </c>
      <c r="E115" s="3" t="b">
        <v>1</v>
      </c>
      <c r="F115" s="3" t="b">
        <v>0</v>
      </c>
      <c r="G115" s="3" t="b">
        <v>0</v>
      </c>
      <c r="H115" s="3" t="b">
        <v>0</v>
      </c>
      <c r="I115" s="3" t="b">
        <f ca="1"/>
        <v>0</v>
      </c>
      <c r="J115" s="3" t="str">
        <v>45792_ORIENTATION</v>
      </c>
      <c r="K115" s="3" t="b">
        <f ca="1"/>
        <v>0</v>
      </c>
      <c r="L115" s="3" t="b">
        <f ca="1"/>
        <v>0</v>
      </c>
      <c r="M115" t="b">
        <f ca="1"/>
        <v>0</v>
      </c>
      <c r="N115" t="b">
        <v>0</v>
      </c>
      <c r="O115" s="2"/>
    </row>
    <row r="116" spans="2:15" x14ac:dyDescent="0.2">
      <c r="B116" s="2">
        <v>45793</v>
      </c>
      <c r="C116" s="2" t="str">
        <f ca="1"/>
        <v>Jour semaine</v>
      </c>
      <c r="D116" s="3">
        <v>5</v>
      </c>
      <c r="E116" s="3" t="b">
        <v>1</v>
      </c>
      <c r="F116" s="3" t="b">
        <v>0</v>
      </c>
      <c r="G116" s="3" t="b">
        <v>0</v>
      </c>
      <c r="H116" s="3" t="b">
        <v>0</v>
      </c>
      <c r="I116" s="3" t="b">
        <f ca="1"/>
        <v>0</v>
      </c>
      <c r="J116" s="3" t="str">
        <v>45793_ORIENTATION</v>
      </c>
      <c r="K116" s="3" t="b">
        <f ca="1"/>
        <v>0</v>
      </c>
      <c r="L116" s="3" t="b">
        <f ca="1"/>
        <v>0</v>
      </c>
      <c r="M116" t="b">
        <f ca="1"/>
        <v>0</v>
      </c>
      <c r="N116" t="b">
        <v>1</v>
      </c>
      <c r="O116" s="2"/>
    </row>
    <row r="117" spans="2:15" x14ac:dyDescent="0.2">
      <c r="B117" s="2">
        <v>45794</v>
      </c>
      <c r="C117" s="2" t="str">
        <f ca="1"/>
        <v>Not in scope</v>
      </c>
      <c r="D117" s="3">
        <v>6</v>
      </c>
      <c r="E117" s="3" t="b">
        <v>0</v>
      </c>
      <c r="F117" s="3" t="b">
        <v>0</v>
      </c>
      <c r="G117" s="3" t="b">
        <v>0</v>
      </c>
      <c r="H117" s="3" t="b">
        <v>0</v>
      </c>
      <c r="I117" s="3" t="b">
        <f ca="1"/>
        <v>0</v>
      </c>
      <c r="J117" s="3" t="str">
        <v>45794_ORIENTATION</v>
      </c>
      <c r="K117" s="3" t="b">
        <f ca="1"/>
        <v>0</v>
      </c>
      <c r="L117" s="3" t="b">
        <f ca="1"/>
        <v>0</v>
      </c>
      <c r="M117" t="b">
        <f ca="1"/>
        <v>0</v>
      </c>
      <c r="N117" t="b">
        <v>0</v>
      </c>
      <c r="O117" s="2"/>
    </row>
    <row r="118" spans="2:15" x14ac:dyDescent="0.2">
      <c r="B118" s="2">
        <v>45795</v>
      </c>
      <c r="C118" s="2" t="str">
        <f ca="1"/>
        <v>Not in scope</v>
      </c>
      <c r="D118" s="3">
        <v>7</v>
      </c>
      <c r="E118" s="3" t="b">
        <v>0</v>
      </c>
      <c r="F118" s="3" t="b">
        <v>0</v>
      </c>
      <c r="G118" s="3" t="b">
        <v>0</v>
      </c>
      <c r="H118" s="3" t="b">
        <v>0</v>
      </c>
      <c r="I118" s="3" t="b">
        <f ca="1"/>
        <v>0</v>
      </c>
      <c r="J118" s="3" t="str">
        <v>45795_ORIENTATION</v>
      </c>
      <c r="K118" s="3" t="b">
        <f ca="1"/>
        <v>0</v>
      </c>
      <c r="L118" s="3" t="b">
        <f ca="1"/>
        <v>0</v>
      </c>
      <c r="M118" t="b">
        <f ca="1"/>
        <v>0</v>
      </c>
      <c r="N118" t="b">
        <v>0</v>
      </c>
      <c r="O118" s="2"/>
    </row>
    <row r="119" spans="2:15" x14ac:dyDescent="0.2">
      <c r="B119" s="2">
        <v>45796</v>
      </c>
      <c r="C119" s="2" t="str">
        <f ca="1"/>
        <v>Not in scope</v>
      </c>
      <c r="D119" s="3">
        <v>1</v>
      </c>
      <c r="E119" s="3" t="b">
        <v>1</v>
      </c>
      <c r="F119" s="3" t="b">
        <v>0</v>
      </c>
      <c r="G119" s="3" t="b">
        <v>0</v>
      </c>
      <c r="H119" s="3" t="b">
        <v>0</v>
      </c>
      <c r="I119" s="3" t="b">
        <f ca="1"/>
        <v>0</v>
      </c>
      <c r="J119" s="3" t="str">
        <v>45796_ORIENTATION</v>
      </c>
      <c r="K119" s="3" t="b">
        <f ca="1"/>
        <v>0</v>
      </c>
      <c r="L119" s="3" t="b">
        <f ca="1"/>
        <v>0</v>
      </c>
      <c r="M119" t="b">
        <f ca="1"/>
        <v>0</v>
      </c>
      <c r="N119" t="b">
        <v>0</v>
      </c>
      <c r="O119" s="2"/>
    </row>
    <row r="120" spans="2:15" x14ac:dyDescent="0.2">
      <c r="B120" s="2">
        <v>45797</v>
      </c>
      <c r="C120" s="2" t="str">
        <f ca="1"/>
        <v>Not in scope</v>
      </c>
      <c r="D120" s="3">
        <v>2</v>
      </c>
      <c r="E120" s="3" t="b">
        <v>1</v>
      </c>
      <c r="F120" s="3" t="b">
        <v>0</v>
      </c>
      <c r="G120" s="3" t="b">
        <v>0</v>
      </c>
      <c r="H120" s="3" t="b">
        <v>0</v>
      </c>
      <c r="I120" s="3" t="b">
        <f ca="1"/>
        <v>0</v>
      </c>
      <c r="J120" s="3" t="str">
        <v>45797_ORIENTATION</v>
      </c>
      <c r="K120" s="3" t="b">
        <f ca="1"/>
        <v>0</v>
      </c>
      <c r="L120" s="3" t="b">
        <f ca="1"/>
        <v>0</v>
      </c>
      <c r="M120" t="b">
        <f ca="1"/>
        <v>0</v>
      </c>
      <c r="N120" t="b">
        <v>0</v>
      </c>
      <c r="O120" s="2"/>
    </row>
    <row r="121" spans="2:15" x14ac:dyDescent="0.2">
      <c r="B121" s="2">
        <v>45798</v>
      </c>
      <c r="C121" s="2" t="str">
        <f ca="1"/>
        <v>Not in scope</v>
      </c>
      <c r="D121" s="3">
        <v>3</v>
      </c>
      <c r="E121" s="3" t="b">
        <v>1</v>
      </c>
      <c r="F121" s="3" t="b">
        <v>0</v>
      </c>
      <c r="G121" s="3" t="b">
        <v>0</v>
      </c>
      <c r="H121" s="3" t="b">
        <v>0</v>
      </c>
      <c r="I121" s="3" t="b">
        <f ca="1"/>
        <v>0</v>
      </c>
      <c r="J121" s="3" t="str">
        <v>45798_ORIENTATION</v>
      </c>
      <c r="K121" s="3" t="b">
        <f ca="1"/>
        <v>0</v>
      </c>
      <c r="L121" s="3" t="b">
        <f ca="1"/>
        <v>0</v>
      </c>
      <c r="M121" t="b">
        <f ca="1"/>
        <v>0</v>
      </c>
      <c r="N121" t="b">
        <v>0</v>
      </c>
      <c r="O121" s="2"/>
    </row>
    <row r="122" spans="2:15" x14ac:dyDescent="0.2">
      <c r="B122" s="2">
        <v>45799</v>
      </c>
      <c r="C122" s="2" t="str">
        <f ca="1"/>
        <v>Not in scope</v>
      </c>
      <c r="D122" s="3">
        <v>4</v>
      </c>
      <c r="E122" s="3" t="b">
        <v>1</v>
      </c>
      <c r="F122" s="3" t="b">
        <v>0</v>
      </c>
      <c r="G122" s="3" t="b">
        <v>0</v>
      </c>
      <c r="H122" s="3" t="b">
        <v>0</v>
      </c>
      <c r="I122" s="3" t="b">
        <f ca="1"/>
        <v>0</v>
      </c>
      <c r="J122" s="3" t="str">
        <v>45799_ORIENTATION</v>
      </c>
      <c r="K122" s="3" t="b">
        <f ca="1"/>
        <v>0</v>
      </c>
      <c r="L122" s="3" t="b">
        <f ca="1"/>
        <v>0</v>
      </c>
      <c r="M122" t="b">
        <f ca="1"/>
        <v>0</v>
      </c>
      <c r="N122" t="b">
        <v>0</v>
      </c>
      <c r="O122" s="2"/>
    </row>
    <row r="123" spans="2:15" x14ac:dyDescent="0.2">
      <c r="B123" s="2">
        <v>45800</v>
      </c>
      <c r="C123" s="2" t="str">
        <f ca="1"/>
        <v>Jour semaine</v>
      </c>
      <c r="D123" s="3">
        <v>5</v>
      </c>
      <c r="E123" s="3" t="b">
        <v>1</v>
      </c>
      <c r="F123" s="3" t="b">
        <v>0</v>
      </c>
      <c r="G123" s="3" t="b">
        <v>0</v>
      </c>
      <c r="H123" s="3" t="b">
        <v>0</v>
      </c>
      <c r="I123" s="3" t="b">
        <f ca="1"/>
        <v>0</v>
      </c>
      <c r="J123" s="3" t="str">
        <v>45800_ORIENTATION</v>
      </c>
      <c r="K123" s="3" t="b">
        <f ca="1"/>
        <v>0</v>
      </c>
      <c r="L123" s="3" t="b">
        <f ca="1"/>
        <v>0</v>
      </c>
      <c r="M123" t="b">
        <f ca="1"/>
        <v>0</v>
      </c>
      <c r="N123" t="b">
        <v>1</v>
      </c>
      <c r="O123" s="2"/>
    </row>
    <row r="124" spans="2:15" x14ac:dyDescent="0.2">
      <c r="B124" s="2">
        <v>45801</v>
      </c>
      <c r="C124" s="2" t="str">
        <f ca="1"/>
        <v>Not in scope</v>
      </c>
      <c r="D124" s="3">
        <v>6</v>
      </c>
      <c r="E124" s="3" t="b">
        <v>0</v>
      </c>
      <c r="F124" s="3" t="b">
        <v>0</v>
      </c>
      <c r="G124" s="3" t="b">
        <v>0</v>
      </c>
      <c r="H124" s="3" t="b">
        <v>0</v>
      </c>
      <c r="I124" s="3" t="b">
        <f ca="1"/>
        <v>0</v>
      </c>
      <c r="J124" s="3" t="str">
        <v>45801_ORIENTATION</v>
      </c>
      <c r="K124" s="3" t="b">
        <f ca="1"/>
        <v>0</v>
      </c>
      <c r="L124" s="3" t="b">
        <f ca="1"/>
        <v>0</v>
      </c>
      <c r="M124" t="b">
        <f ca="1"/>
        <v>0</v>
      </c>
      <c r="N124" t="b">
        <v>0</v>
      </c>
      <c r="O124" s="2"/>
    </row>
    <row r="125" spans="2:15" x14ac:dyDescent="0.2">
      <c r="B125" s="2">
        <v>45802</v>
      </c>
      <c r="C125" s="2" t="str">
        <f ca="1"/>
        <v>Not in scope</v>
      </c>
      <c r="D125" s="3">
        <v>7</v>
      </c>
      <c r="E125" s="3" t="b">
        <v>0</v>
      </c>
      <c r="F125" s="3" t="b">
        <v>0</v>
      </c>
      <c r="G125" s="3" t="b">
        <v>0</v>
      </c>
      <c r="H125" s="3" t="b">
        <v>0</v>
      </c>
      <c r="I125" s="3" t="b">
        <f ca="1"/>
        <v>0</v>
      </c>
      <c r="J125" s="3" t="str">
        <v>45802_ORIENTATION</v>
      </c>
      <c r="K125" s="3" t="b">
        <f ca="1"/>
        <v>0</v>
      </c>
      <c r="L125" s="3" t="b">
        <f ca="1"/>
        <v>0</v>
      </c>
      <c r="M125" t="b">
        <f ca="1"/>
        <v>0</v>
      </c>
      <c r="N125" t="b">
        <v>0</v>
      </c>
      <c r="O125" s="2"/>
    </row>
    <row r="126" spans="2:15" x14ac:dyDescent="0.2">
      <c r="B126" s="2">
        <v>45803</v>
      </c>
      <c r="C126" s="2" t="str">
        <f ca="1"/>
        <v>Not in scope</v>
      </c>
      <c r="D126" s="3">
        <v>1</v>
      </c>
      <c r="E126" s="3" t="b">
        <v>1</v>
      </c>
      <c r="F126" s="3" t="b">
        <v>0</v>
      </c>
      <c r="G126" s="3" t="b">
        <v>0</v>
      </c>
      <c r="H126" s="3" t="b">
        <v>0</v>
      </c>
      <c r="I126" s="3" t="b">
        <f ca="1"/>
        <v>0</v>
      </c>
      <c r="J126" s="3" t="str">
        <v>45803_ORIENTATION</v>
      </c>
      <c r="K126" s="3" t="b">
        <f ca="1"/>
        <v>0</v>
      </c>
      <c r="L126" s="3" t="b">
        <f ca="1"/>
        <v>0</v>
      </c>
      <c r="M126" t="b">
        <f ca="1"/>
        <v>0</v>
      </c>
      <c r="N126" t="b">
        <v>0</v>
      </c>
      <c r="O126" s="2"/>
    </row>
    <row r="127" spans="2:15" x14ac:dyDescent="0.2">
      <c r="B127" s="2">
        <v>45804</v>
      </c>
      <c r="C127" s="2" t="str">
        <f ca="1"/>
        <v>Not in scope</v>
      </c>
      <c r="D127" s="3">
        <v>2</v>
      </c>
      <c r="E127" s="3" t="b">
        <v>1</v>
      </c>
      <c r="F127" s="3" t="b">
        <v>0</v>
      </c>
      <c r="G127" s="3" t="b">
        <v>0</v>
      </c>
      <c r="H127" s="3" t="b">
        <v>0</v>
      </c>
      <c r="I127" s="3" t="b">
        <f ca="1"/>
        <v>0</v>
      </c>
      <c r="J127" s="3" t="str">
        <v>45804_ORIENTATION</v>
      </c>
      <c r="K127" s="3" t="b">
        <f ca="1"/>
        <v>0</v>
      </c>
      <c r="L127" s="3" t="b">
        <f ca="1"/>
        <v>0</v>
      </c>
      <c r="M127" t="b">
        <f ca="1"/>
        <v>0</v>
      </c>
      <c r="N127" t="b">
        <v>0</v>
      </c>
      <c r="O127" s="2"/>
    </row>
    <row r="128" spans="2:15" x14ac:dyDescent="0.2">
      <c r="B128" s="2">
        <v>45805</v>
      </c>
      <c r="C128" s="2" t="str">
        <f ca="1"/>
        <v>Not in scope</v>
      </c>
      <c r="D128" s="3">
        <v>3</v>
      </c>
      <c r="E128" s="3" t="b">
        <v>1</v>
      </c>
      <c r="F128" s="3" t="b">
        <v>0</v>
      </c>
      <c r="G128" s="3" t="b">
        <v>0</v>
      </c>
      <c r="H128" s="3" t="b">
        <v>0</v>
      </c>
      <c r="I128" s="3" t="b">
        <f ca="1"/>
        <v>0</v>
      </c>
      <c r="J128" s="3" t="str">
        <v>45805_ORIENTATION</v>
      </c>
      <c r="K128" s="3" t="b">
        <f ca="1"/>
        <v>0</v>
      </c>
      <c r="L128" s="3" t="b">
        <f ca="1"/>
        <v>0</v>
      </c>
      <c r="M128" t="b">
        <f ca="1"/>
        <v>0</v>
      </c>
      <c r="N128" t="b">
        <v>0</v>
      </c>
      <c r="O128" s="2"/>
    </row>
    <row r="129" spans="2:15" x14ac:dyDescent="0.2">
      <c r="B129" s="2">
        <v>45806</v>
      </c>
      <c r="C129" s="2" t="str">
        <f ca="1"/>
        <v>Not in scope</v>
      </c>
      <c r="D129" s="3">
        <v>4</v>
      </c>
      <c r="E129" s="3" t="b">
        <v>1</v>
      </c>
      <c r="F129" s="3" t="b">
        <v>1</v>
      </c>
      <c r="G129" s="3" t="b">
        <v>0</v>
      </c>
      <c r="H129" s="3" t="b">
        <v>0</v>
      </c>
      <c r="I129" s="3" t="b">
        <f ca="1"/>
        <v>0</v>
      </c>
      <c r="J129" s="3" t="str">
        <v>45806_ORIENTATION</v>
      </c>
      <c r="K129" s="3" t="b">
        <f ca="1"/>
        <v>0</v>
      </c>
      <c r="L129" s="3" t="b">
        <f ca="1"/>
        <v>0</v>
      </c>
      <c r="M129" t="b">
        <f ca="1"/>
        <v>0</v>
      </c>
      <c r="N129" t="b">
        <v>0</v>
      </c>
      <c r="O129" s="2"/>
    </row>
    <row r="130" spans="2:15" x14ac:dyDescent="0.2">
      <c r="B130" s="2">
        <v>45807</v>
      </c>
      <c r="C130" s="2" t="str">
        <f ca="1"/>
        <v>Pas audience</v>
      </c>
      <c r="D130" s="3">
        <v>5</v>
      </c>
      <c r="E130" s="3" t="b">
        <v>1</v>
      </c>
      <c r="F130" s="3" t="b">
        <v>0</v>
      </c>
      <c r="G130" s="3" t="b">
        <v>0</v>
      </c>
      <c r="H130" s="3" t="b">
        <v>0</v>
      </c>
      <c r="I130" s="3" t="b">
        <f ca="1"/>
        <v>0</v>
      </c>
      <c r="J130" s="3" t="str">
        <v>45807_ORIENTATION</v>
      </c>
      <c r="K130" s="3" t="b">
        <f ca="1"/>
        <v>0</v>
      </c>
      <c r="L130" s="3" t="b">
        <f ca="1"/>
        <v>0</v>
      </c>
      <c r="M130" t="b">
        <f ca="1"/>
        <v>1</v>
      </c>
      <c r="N130" t="b">
        <v>1</v>
      </c>
      <c r="O130" s="2"/>
    </row>
    <row r="131" spans="2:15" x14ac:dyDescent="0.2">
      <c r="B131" s="2">
        <v>45808</v>
      </c>
      <c r="C131" s="2" t="str">
        <f ca="1"/>
        <v>Not in scope</v>
      </c>
      <c r="D131" s="3">
        <v>6</v>
      </c>
      <c r="E131" s="3" t="b">
        <v>0</v>
      </c>
      <c r="F131" s="3" t="b">
        <v>0</v>
      </c>
      <c r="G131" s="3" t="b">
        <v>0</v>
      </c>
      <c r="H131" s="3" t="b">
        <v>0</v>
      </c>
      <c r="I131" s="3" t="b">
        <f ca="1"/>
        <v>0</v>
      </c>
      <c r="J131" s="3" t="str">
        <v>45808_ORIENTATION</v>
      </c>
      <c r="K131" s="3" t="b">
        <f ca="1"/>
        <v>0</v>
      </c>
      <c r="L131" s="3" t="b">
        <f ca="1"/>
        <v>0</v>
      </c>
      <c r="M131" t="b">
        <f ca="1"/>
        <v>0</v>
      </c>
      <c r="N131" t="b">
        <v>0</v>
      </c>
      <c r="O131" s="2"/>
    </row>
    <row r="132" spans="2:15" x14ac:dyDescent="0.2">
      <c r="B132" s="2">
        <v>45809</v>
      </c>
      <c r="C132" s="2" t="str">
        <f ca="1"/>
        <v>Not in scope</v>
      </c>
      <c r="D132" s="3">
        <v>7</v>
      </c>
      <c r="E132" s="3" t="b">
        <v>0</v>
      </c>
      <c r="F132" s="3" t="b">
        <v>0</v>
      </c>
      <c r="G132" s="3" t="b">
        <v>0</v>
      </c>
      <c r="H132" s="3" t="b">
        <v>0</v>
      </c>
      <c r="I132" s="3" t="b">
        <f ca="1"/>
        <v>0</v>
      </c>
      <c r="J132" s="3" t="str">
        <v>45809_ORIENTATION</v>
      </c>
      <c r="K132" s="3" t="b">
        <f ca="1"/>
        <v>0</v>
      </c>
      <c r="L132" s="3" t="b">
        <f ca="1"/>
        <v>0</v>
      </c>
      <c r="M132" t="b">
        <f ca="1"/>
        <v>0</v>
      </c>
      <c r="N132" t="b">
        <v>0</v>
      </c>
      <c r="O132" s="2"/>
    </row>
    <row r="133" spans="2:15" x14ac:dyDescent="0.2">
      <c r="B133" s="2">
        <v>45810</v>
      </c>
      <c r="C133" s="2" t="str">
        <f ca="1"/>
        <v>Not in scope</v>
      </c>
      <c r="D133" s="3">
        <v>1</v>
      </c>
      <c r="E133" s="3" t="b">
        <v>1</v>
      </c>
      <c r="F133" s="3" t="b">
        <v>0</v>
      </c>
      <c r="G133" s="3" t="b">
        <v>0</v>
      </c>
      <c r="H133" s="3" t="b">
        <v>0</v>
      </c>
      <c r="I133" s="3" t="b">
        <f ca="1"/>
        <v>0</v>
      </c>
      <c r="J133" s="3" t="str">
        <v>45810_ORIENTATION</v>
      </c>
      <c r="K133" s="3" t="b">
        <f ca="1"/>
        <v>0</v>
      </c>
      <c r="L133" s="3" t="b">
        <f ca="1"/>
        <v>0</v>
      </c>
      <c r="M133" t="b">
        <f ca="1"/>
        <v>0</v>
      </c>
      <c r="N133" t="b">
        <v>0</v>
      </c>
      <c r="O133" s="2"/>
    </row>
    <row r="134" spans="2:15" x14ac:dyDescent="0.2">
      <c r="B134" s="2">
        <v>45811</v>
      </c>
      <c r="C134" s="2" t="str">
        <f ca="1"/>
        <v>Not in scope</v>
      </c>
      <c r="D134" s="3">
        <v>2</v>
      </c>
      <c r="E134" s="3" t="b">
        <v>1</v>
      </c>
      <c r="F134" s="3" t="b">
        <v>0</v>
      </c>
      <c r="G134" s="3" t="b">
        <v>0</v>
      </c>
      <c r="H134" s="3" t="b">
        <v>0</v>
      </c>
      <c r="I134" s="3" t="b">
        <f ca="1"/>
        <v>0</v>
      </c>
      <c r="J134" s="3" t="str">
        <v>45811_ORIENTATION</v>
      </c>
      <c r="K134" s="3" t="b">
        <f ca="1"/>
        <v>0</v>
      </c>
      <c r="L134" s="3" t="b">
        <f ca="1"/>
        <v>0</v>
      </c>
      <c r="M134" t="b">
        <f ca="1"/>
        <v>0</v>
      </c>
      <c r="N134" t="b">
        <v>0</v>
      </c>
      <c r="O134" s="2"/>
    </row>
    <row r="135" spans="2:15" x14ac:dyDescent="0.2">
      <c r="B135" s="2">
        <v>45812</v>
      </c>
      <c r="C135" s="2" t="str">
        <f ca="1"/>
        <v>Not in scope</v>
      </c>
      <c r="D135" s="3">
        <v>3</v>
      </c>
      <c r="E135" s="3" t="b">
        <v>1</v>
      </c>
      <c r="F135" s="3" t="b">
        <v>0</v>
      </c>
      <c r="G135" s="3" t="b">
        <v>0</v>
      </c>
      <c r="H135" s="3" t="b">
        <v>0</v>
      </c>
      <c r="I135" s="3" t="b">
        <f ca="1"/>
        <v>0</v>
      </c>
      <c r="J135" s="3" t="str">
        <v>45812_ORIENTATION</v>
      </c>
      <c r="K135" s="3" t="b">
        <f ca="1"/>
        <v>0</v>
      </c>
      <c r="L135" s="3" t="b">
        <f ca="1"/>
        <v>0</v>
      </c>
      <c r="M135" t="b">
        <f ca="1"/>
        <v>0</v>
      </c>
      <c r="N135" t="b">
        <v>0</v>
      </c>
      <c r="O135" s="2"/>
    </row>
    <row r="136" spans="2:15" x14ac:dyDescent="0.2">
      <c r="B136" s="2">
        <v>45813</v>
      </c>
      <c r="C136" s="2" t="str">
        <f ca="1"/>
        <v>Not in scope</v>
      </c>
      <c r="D136" s="3">
        <v>4</v>
      </c>
      <c r="E136" s="3" t="b">
        <v>1</v>
      </c>
      <c r="F136" s="3" t="b">
        <v>0</v>
      </c>
      <c r="G136" s="3" t="b">
        <v>0</v>
      </c>
      <c r="H136" s="3" t="b">
        <v>0</v>
      </c>
      <c r="I136" s="3" t="b">
        <f ca="1"/>
        <v>0</v>
      </c>
      <c r="J136" s="3" t="str">
        <v>45813_ORIENTATION</v>
      </c>
      <c r="K136" s="3" t="b">
        <f ca="1"/>
        <v>0</v>
      </c>
      <c r="L136" s="3" t="b">
        <f ca="1"/>
        <v>0</v>
      </c>
      <c r="M136" t="b">
        <f ca="1"/>
        <v>0</v>
      </c>
      <c r="N136" t="b">
        <v>0</v>
      </c>
      <c r="O136" s="2"/>
    </row>
    <row r="137" spans="2:15" x14ac:dyDescent="0.2">
      <c r="B137" s="2">
        <v>45814</v>
      </c>
      <c r="C137" s="2" t="str">
        <f ca="1"/>
        <v>Jour semaine</v>
      </c>
      <c r="D137" s="3">
        <v>5</v>
      </c>
      <c r="E137" s="3" t="b">
        <v>1</v>
      </c>
      <c r="F137" s="3" t="b">
        <v>0</v>
      </c>
      <c r="G137" s="3" t="b">
        <v>0</v>
      </c>
      <c r="H137" s="3" t="b">
        <v>0</v>
      </c>
      <c r="I137" s="3" t="b">
        <f ca="1"/>
        <v>0</v>
      </c>
      <c r="J137" s="3" t="str">
        <v>45814_ORIENTATION</v>
      </c>
      <c r="K137" s="3" t="b">
        <f ca="1"/>
        <v>0</v>
      </c>
      <c r="L137" s="3" t="b">
        <f ca="1"/>
        <v>0</v>
      </c>
      <c r="M137" t="b">
        <f ca="1"/>
        <v>0</v>
      </c>
      <c r="N137" t="b">
        <v>1</v>
      </c>
      <c r="O137" s="2"/>
    </row>
    <row r="138" spans="2:15" x14ac:dyDescent="0.2">
      <c r="B138" s="2">
        <v>45815</v>
      </c>
      <c r="C138" s="2" t="str">
        <f ca="1"/>
        <v>Not in scope</v>
      </c>
      <c r="D138" s="3">
        <v>6</v>
      </c>
      <c r="E138" s="3" t="b">
        <v>0</v>
      </c>
      <c r="F138" s="3" t="b">
        <v>0</v>
      </c>
      <c r="G138" s="3" t="b">
        <v>0</v>
      </c>
      <c r="H138" s="3" t="b">
        <v>0</v>
      </c>
      <c r="I138" s="3" t="b">
        <f ca="1"/>
        <v>0</v>
      </c>
      <c r="J138" s="3" t="str">
        <v>45815_ORIENTATION</v>
      </c>
      <c r="K138" s="3" t="b">
        <f ca="1"/>
        <v>0</v>
      </c>
      <c r="L138" s="3" t="b">
        <f ca="1"/>
        <v>0</v>
      </c>
      <c r="M138" t="b">
        <f ca="1"/>
        <v>0</v>
      </c>
      <c r="N138" t="b">
        <v>0</v>
      </c>
      <c r="O138" s="2"/>
    </row>
    <row r="139" spans="2:15" x14ac:dyDescent="0.2">
      <c r="B139" s="2">
        <v>45816</v>
      </c>
      <c r="C139" s="2" t="str">
        <f ca="1"/>
        <v>Not in scope</v>
      </c>
      <c r="D139" s="3">
        <v>7</v>
      </c>
      <c r="E139" s="3" t="b">
        <v>0</v>
      </c>
      <c r="F139" s="3" t="b">
        <v>1</v>
      </c>
      <c r="G139" s="3" t="b">
        <v>0</v>
      </c>
      <c r="H139" s="3" t="b">
        <v>0</v>
      </c>
      <c r="I139" s="3" t="b">
        <f ca="1"/>
        <v>0</v>
      </c>
      <c r="J139" s="3" t="str">
        <v>45816_ORIENTATION</v>
      </c>
      <c r="K139" s="3" t="b">
        <f ca="1"/>
        <v>0</v>
      </c>
      <c r="L139" s="3" t="b">
        <f ca="1"/>
        <v>0</v>
      </c>
      <c r="M139" t="b">
        <f ca="1"/>
        <v>0</v>
      </c>
      <c r="N139" t="b">
        <v>0</v>
      </c>
      <c r="O139" s="2"/>
    </row>
    <row r="140" spans="2:15" x14ac:dyDescent="0.2">
      <c r="B140" s="2">
        <v>45817</v>
      </c>
      <c r="C140" s="2" t="str">
        <f ca="1"/>
        <v>Not in scope</v>
      </c>
      <c r="D140" s="3">
        <v>1</v>
      </c>
      <c r="E140" s="3" t="b">
        <v>1</v>
      </c>
      <c r="F140" s="3" t="b">
        <v>1</v>
      </c>
      <c r="G140" s="3" t="b">
        <v>0</v>
      </c>
      <c r="H140" s="3" t="b">
        <v>0</v>
      </c>
      <c r="I140" s="3" t="b">
        <f ca="1"/>
        <v>0</v>
      </c>
      <c r="J140" s="3" t="str">
        <v>45817_ORIENTATION</v>
      </c>
      <c r="K140" s="3" t="b">
        <f ca="1"/>
        <v>0</v>
      </c>
      <c r="L140" s="3" t="b">
        <f ca="1"/>
        <v>0</v>
      </c>
      <c r="M140" t="b">
        <f ca="1"/>
        <v>0</v>
      </c>
      <c r="N140" t="b">
        <v>0</v>
      </c>
      <c r="O140" s="2"/>
    </row>
    <row r="141" spans="2:15" x14ac:dyDescent="0.2">
      <c r="B141" s="2">
        <v>45818</v>
      </c>
      <c r="C141" s="2" t="str">
        <f ca="1"/>
        <v>Not in scope</v>
      </c>
      <c r="D141" s="3">
        <v>2</v>
      </c>
      <c r="E141" s="3" t="b">
        <v>1</v>
      </c>
      <c r="F141" s="3" t="b">
        <v>0</v>
      </c>
      <c r="G141" s="3" t="b">
        <v>0</v>
      </c>
      <c r="H141" s="3" t="b">
        <v>0</v>
      </c>
      <c r="I141" s="3" t="b">
        <f ca="1"/>
        <v>0</v>
      </c>
      <c r="J141" s="3" t="str">
        <v>45818_ORIENTATION</v>
      </c>
      <c r="K141" s="3" t="b">
        <f ca="1"/>
        <v>0</v>
      </c>
      <c r="L141" s="3" t="b">
        <f ca="1"/>
        <v>0</v>
      </c>
      <c r="M141" t="b">
        <f ca="1"/>
        <v>0</v>
      </c>
      <c r="N141" t="b">
        <v>0</v>
      </c>
      <c r="O141" s="2"/>
    </row>
    <row r="142" spans="2:15" x14ac:dyDescent="0.2">
      <c r="B142" s="2">
        <v>45819</v>
      </c>
      <c r="C142" s="2" t="str">
        <f ca="1"/>
        <v>Not in scope</v>
      </c>
      <c r="D142" s="3">
        <v>3</v>
      </c>
      <c r="E142" s="3" t="b">
        <v>1</v>
      </c>
      <c r="F142" s="3" t="b">
        <v>0</v>
      </c>
      <c r="G142" s="3" t="b">
        <v>0</v>
      </c>
      <c r="H142" s="3" t="b">
        <v>0</v>
      </c>
      <c r="I142" s="3" t="b">
        <f ca="1"/>
        <v>0</v>
      </c>
      <c r="J142" s="3" t="str">
        <v>45819_ORIENTATION</v>
      </c>
      <c r="K142" s="3" t="b">
        <f ca="1"/>
        <v>0</v>
      </c>
      <c r="L142" s="3" t="b">
        <f ca="1"/>
        <v>0</v>
      </c>
      <c r="M142" t="b">
        <f ca="1"/>
        <v>0</v>
      </c>
      <c r="N142" t="b">
        <v>0</v>
      </c>
      <c r="O142" s="2"/>
    </row>
    <row r="143" spans="2:15" x14ac:dyDescent="0.2">
      <c r="B143" s="2">
        <v>45820</v>
      </c>
      <c r="C143" s="2" t="str">
        <f ca="1"/>
        <v>Not in scope</v>
      </c>
      <c r="D143" s="3">
        <v>4</v>
      </c>
      <c r="E143" s="3" t="b">
        <v>1</v>
      </c>
      <c r="F143" s="3" t="b">
        <v>0</v>
      </c>
      <c r="G143" s="3" t="b">
        <v>0</v>
      </c>
      <c r="H143" s="3" t="b">
        <v>0</v>
      </c>
      <c r="I143" s="3" t="b">
        <f ca="1"/>
        <v>0</v>
      </c>
      <c r="J143" s="3" t="str">
        <v>45820_ORIENTATION</v>
      </c>
      <c r="K143" s="3" t="b">
        <f ca="1"/>
        <v>0</v>
      </c>
      <c r="L143" s="3" t="b">
        <f ca="1"/>
        <v>0</v>
      </c>
      <c r="M143" t="b">
        <f ca="1"/>
        <v>0</v>
      </c>
      <c r="N143" t="b">
        <v>0</v>
      </c>
      <c r="O143" s="2"/>
    </row>
    <row r="144" spans="2:15" x14ac:dyDescent="0.2">
      <c r="B144" s="2">
        <v>45821</v>
      </c>
      <c r="C144" s="2" t="str">
        <f ca="1"/>
        <v>Jour semaine</v>
      </c>
      <c r="D144" s="3">
        <v>5</v>
      </c>
      <c r="E144" s="3" t="b">
        <v>1</v>
      </c>
      <c r="F144" s="3" t="b">
        <v>0</v>
      </c>
      <c r="G144" s="3" t="b">
        <v>0</v>
      </c>
      <c r="H144" s="3" t="b">
        <v>0</v>
      </c>
      <c r="I144" s="3" t="b">
        <f ca="1"/>
        <v>0</v>
      </c>
      <c r="J144" s="3" t="str">
        <v>45821_ORIENTATION</v>
      </c>
      <c r="K144" s="3" t="b">
        <f ca="1"/>
        <v>0</v>
      </c>
      <c r="L144" s="3" t="b">
        <f ca="1"/>
        <v>0</v>
      </c>
      <c r="M144" t="b">
        <f ca="1"/>
        <v>0</v>
      </c>
      <c r="N144" t="b">
        <v>1</v>
      </c>
      <c r="O144" s="2"/>
    </row>
    <row r="145" spans="2:15" x14ac:dyDescent="0.2">
      <c r="B145" s="2">
        <v>45822</v>
      </c>
      <c r="C145" s="2" t="str">
        <f ca="1"/>
        <v>Not in scope</v>
      </c>
      <c r="D145" s="3">
        <v>6</v>
      </c>
      <c r="E145" s="3" t="b">
        <v>0</v>
      </c>
      <c r="F145" s="3" t="b">
        <v>0</v>
      </c>
      <c r="G145" s="3" t="b">
        <v>0</v>
      </c>
      <c r="H145" s="3" t="b">
        <v>0</v>
      </c>
      <c r="I145" s="3" t="b">
        <f ca="1"/>
        <v>0</v>
      </c>
      <c r="J145" s="3" t="str">
        <v>45822_ORIENTATION</v>
      </c>
      <c r="K145" s="3" t="b">
        <f ca="1"/>
        <v>0</v>
      </c>
      <c r="L145" s="3" t="b">
        <f ca="1"/>
        <v>0</v>
      </c>
      <c r="M145" t="b">
        <f ca="1"/>
        <v>0</v>
      </c>
      <c r="N145" t="b">
        <v>0</v>
      </c>
      <c r="O145" s="2"/>
    </row>
    <row r="146" spans="2:15" x14ac:dyDescent="0.2">
      <c r="B146" s="2">
        <v>45823</v>
      </c>
      <c r="C146" s="2" t="str">
        <f ca="1"/>
        <v>Not in scope</v>
      </c>
      <c r="D146" s="3">
        <v>7</v>
      </c>
      <c r="E146" s="3" t="b">
        <v>0</v>
      </c>
      <c r="F146" s="3" t="b">
        <v>0</v>
      </c>
      <c r="G146" s="3" t="b">
        <v>0</v>
      </c>
      <c r="H146" s="3" t="b">
        <v>0</v>
      </c>
      <c r="I146" s="3" t="b">
        <f ca="1"/>
        <v>0</v>
      </c>
      <c r="J146" s="3" t="str">
        <v>45823_ORIENTATION</v>
      </c>
      <c r="K146" s="3" t="b">
        <f ca="1"/>
        <v>0</v>
      </c>
      <c r="L146" s="3" t="b">
        <f ca="1"/>
        <v>0</v>
      </c>
      <c r="M146" t="b">
        <f ca="1"/>
        <v>0</v>
      </c>
      <c r="N146" t="b">
        <v>0</v>
      </c>
      <c r="O146" s="2"/>
    </row>
    <row r="147" spans="2:15" x14ac:dyDescent="0.2">
      <c r="B147" s="2">
        <v>45824</v>
      </c>
      <c r="C147" s="2" t="str">
        <f ca="1"/>
        <v>Not in scope</v>
      </c>
      <c r="D147" s="3">
        <v>1</v>
      </c>
      <c r="E147" s="3" t="b">
        <v>1</v>
      </c>
      <c r="F147" s="3" t="b">
        <v>0</v>
      </c>
      <c r="G147" s="3" t="b">
        <v>0</v>
      </c>
      <c r="H147" s="3" t="b">
        <v>0</v>
      </c>
      <c r="I147" s="3" t="b">
        <f ca="1"/>
        <v>0</v>
      </c>
      <c r="J147" s="3" t="str">
        <v>45824_ORIENTATION</v>
      </c>
      <c r="K147" s="3" t="b">
        <f ca="1"/>
        <v>0</v>
      </c>
      <c r="L147" s="3" t="b">
        <f ca="1"/>
        <v>0</v>
      </c>
      <c r="M147" t="b">
        <f ca="1"/>
        <v>0</v>
      </c>
      <c r="N147" t="b">
        <v>0</v>
      </c>
      <c r="O147" s="2"/>
    </row>
    <row r="148" spans="2:15" x14ac:dyDescent="0.2">
      <c r="B148" s="2">
        <v>45825</v>
      </c>
      <c r="C148" s="2" t="str">
        <f ca="1"/>
        <v>Not in scope</v>
      </c>
      <c r="D148" s="3">
        <v>2</v>
      </c>
      <c r="E148" s="3" t="b">
        <v>1</v>
      </c>
      <c r="F148" s="3" t="b">
        <v>0</v>
      </c>
      <c r="G148" s="3" t="b">
        <v>0</v>
      </c>
      <c r="H148" s="3" t="b">
        <v>0</v>
      </c>
      <c r="I148" s="3" t="b">
        <f ca="1"/>
        <v>0</v>
      </c>
      <c r="J148" s="3" t="str">
        <v>45825_ORIENTATION</v>
      </c>
      <c r="K148" s="3" t="b">
        <f ca="1"/>
        <v>0</v>
      </c>
      <c r="L148" s="3" t="b">
        <f ca="1"/>
        <v>0</v>
      </c>
      <c r="M148" t="b">
        <f ca="1"/>
        <v>0</v>
      </c>
      <c r="N148" t="b">
        <v>0</v>
      </c>
      <c r="O148" s="2"/>
    </row>
    <row r="149" spans="2:15" x14ac:dyDescent="0.2">
      <c r="B149" s="2">
        <v>45826</v>
      </c>
      <c r="C149" s="2" t="str">
        <f ca="1"/>
        <v>Not in scope</v>
      </c>
      <c r="D149" s="3">
        <v>3</v>
      </c>
      <c r="E149" s="3" t="b">
        <v>1</v>
      </c>
      <c r="F149" s="3" t="b">
        <v>0</v>
      </c>
      <c r="G149" s="3" t="b">
        <v>0</v>
      </c>
      <c r="H149" s="3" t="b">
        <v>0</v>
      </c>
      <c r="I149" s="3" t="b">
        <f ca="1"/>
        <v>0</v>
      </c>
      <c r="J149" s="3" t="str">
        <v>45826_ORIENTATION</v>
      </c>
      <c r="K149" s="3" t="b">
        <f ca="1"/>
        <v>0</v>
      </c>
      <c r="L149" s="3" t="b">
        <f ca="1"/>
        <v>0</v>
      </c>
      <c r="M149" t="b">
        <f ca="1"/>
        <v>0</v>
      </c>
      <c r="N149" t="b">
        <v>0</v>
      </c>
      <c r="O149" s="2"/>
    </row>
    <row r="150" spans="2:15" x14ac:dyDescent="0.2">
      <c r="B150" s="2">
        <v>45827</v>
      </c>
      <c r="C150" s="2" t="str">
        <f ca="1"/>
        <v>Not in scope</v>
      </c>
      <c r="D150" s="3">
        <v>4</v>
      </c>
      <c r="E150" s="3" t="b">
        <v>1</v>
      </c>
      <c r="F150" s="3" t="b">
        <v>0</v>
      </c>
      <c r="G150" s="3" t="b">
        <v>0</v>
      </c>
      <c r="H150" s="3" t="b">
        <v>0</v>
      </c>
      <c r="I150" s="3" t="b">
        <f ca="1"/>
        <v>0</v>
      </c>
      <c r="J150" s="3" t="str">
        <v>45827_ORIENTATION</v>
      </c>
      <c r="K150" s="3" t="b">
        <f ca="1"/>
        <v>0</v>
      </c>
      <c r="L150" s="3" t="b">
        <f ca="1"/>
        <v>0</v>
      </c>
      <c r="M150" t="b">
        <f ca="1"/>
        <v>0</v>
      </c>
      <c r="N150" t="b">
        <v>0</v>
      </c>
      <c r="O150" s="2"/>
    </row>
    <row r="151" spans="2:15" x14ac:dyDescent="0.2">
      <c r="B151" s="2">
        <v>45828</v>
      </c>
      <c r="C151" s="2" t="str">
        <f ca="1"/>
        <v>Jour semaine</v>
      </c>
      <c r="D151" s="3">
        <v>5</v>
      </c>
      <c r="E151" s="3" t="b">
        <v>1</v>
      </c>
      <c r="F151" s="3" t="b">
        <v>0</v>
      </c>
      <c r="G151" s="3" t="b">
        <v>0</v>
      </c>
      <c r="H151" s="3" t="b">
        <v>0</v>
      </c>
      <c r="I151" s="3" t="b">
        <f ca="1"/>
        <v>0</v>
      </c>
      <c r="J151" s="3" t="str">
        <v>45828_ORIENTATION</v>
      </c>
      <c r="K151" s="3" t="b">
        <f ca="1"/>
        <v>0</v>
      </c>
      <c r="L151" s="3" t="b">
        <f ca="1"/>
        <v>0</v>
      </c>
      <c r="M151" t="b">
        <f ca="1"/>
        <v>0</v>
      </c>
      <c r="N151" t="b">
        <v>1</v>
      </c>
      <c r="O151" s="2"/>
    </row>
    <row r="152" spans="2:15" x14ac:dyDescent="0.2">
      <c r="B152" s="2">
        <v>45829</v>
      </c>
      <c r="C152" s="2" t="str">
        <f ca="1"/>
        <v>Not in scope</v>
      </c>
      <c r="D152" s="3">
        <v>6</v>
      </c>
      <c r="E152" s="3" t="b">
        <v>0</v>
      </c>
      <c r="F152" s="3" t="b">
        <v>0</v>
      </c>
      <c r="G152" s="3" t="b">
        <v>0</v>
      </c>
      <c r="H152" s="3" t="b">
        <v>0</v>
      </c>
      <c r="I152" s="3" t="b">
        <f ca="1"/>
        <v>0</v>
      </c>
      <c r="J152" s="3" t="str">
        <v>45829_ORIENTATION</v>
      </c>
      <c r="K152" s="3" t="b">
        <f ca="1"/>
        <v>0</v>
      </c>
      <c r="L152" s="3" t="b">
        <f ca="1"/>
        <v>0</v>
      </c>
      <c r="M152" t="b">
        <f ca="1"/>
        <v>0</v>
      </c>
      <c r="N152" t="b">
        <v>0</v>
      </c>
      <c r="O152" s="2"/>
    </row>
    <row r="153" spans="2:15" x14ac:dyDescent="0.2">
      <c r="B153" s="2">
        <v>45830</v>
      </c>
      <c r="C153" s="2" t="str">
        <f ca="1"/>
        <v>Not in scope</v>
      </c>
      <c r="D153" s="3">
        <v>7</v>
      </c>
      <c r="E153" s="3" t="b">
        <v>0</v>
      </c>
      <c r="F153" s="3" t="b">
        <v>0</v>
      </c>
      <c r="G153" s="3" t="b">
        <v>0</v>
      </c>
      <c r="H153" s="3" t="b">
        <v>0</v>
      </c>
      <c r="I153" s="3" t="b">
        <f ca="1"/>
        <v>0</v>
      </c>
      <c r="J153" s="3" t="str">
        <v>45830_ORIENTATION</v>
      </c>
      <c r="K153" s="3" t="b">
        <f ca="1"/>
        <v>0</v>
      </c>
      <c r="L153" s="3" t="b">
        <f ca="1"/>
        <v>0</v>
      </c>
      <c r="M153" t="b">
        <f ca="1"/>
        <v>0</v>
      </c>
      <c r="N153" t="b">
        <v>0</v>
      </c>
      <c r="O153" s="2"/>
    </row>
    <row r="154" spans="2:15" x14ac:dyDescent="0.2">
      <c r="B154" s="2">
        <v>45831</v>
      </c>
      <c r="C154" s="2" t="str">
        <f ca="1"/>
        <v>Not in scope</v>
      </c>
      <c r="D154" s="3">
        <v>1</v>
      </c>
      <c r="E154" s="3" t="b">
        <v>1</v>
      </c>
      <c r="F154" s="3" t="b">
        <v>0</v>
      </c>
      <c r="G154" s="3" t="b">
        <v>0</v>
      </c>
      <c r="H154" s="3" t="b">
        <v>0</v>
      </c>
      <c r="I154" s="3" t="b">
        <f ca="1"/>
        <v>0</v>
      </c>
      <c r="J154" s="3" t="str">
        <v>45831_ORIENTATION</v>
      </c>
      <c r="K154" s="3" t="b">
        <f ca="1"/>
        <v>0</v>
      </c>
      <c r="L154" s="3" t="b">
        <f ca="1"/>
        <v>0</v>
      </c>
      <c r="M154" t="b">
        <f ca="1"/>
        <v>0</v>
      </c>
      <c r="N154" t="b">
        <v>0</v>
      </c>
      <c r="O154" s="2"/>
    </row>
    <row r="155" spans="2:15" x14ac:dyDescent="0.2">
      <c r="B155" s="2">
        <v>45832</v>
      </c>
      <c r="C155" s="2" t="str">
        <f ca="1"/>
        <v>Not in scope</v>
      </c>
      <c r="D155" s="3">
        <v>2</v>
      </c>
      <c r="E155" s="3" t="b">
        <v>1</v>
      </c>
      <c r="F155" s="3" t="b">
        <v>0</v>
      </c>
      <c r="G155" s="3" t="b">
        <v>0</v>
      </c>
      <c r="H155" s="3" t="b">
        <v>0</v>
      </c>
      <c r="I155" s="3" t="b">
        <f ca="1"/>
        <v>0</v>
      </c>
      <c r="J155" s="3" t="str">
        <v>45832_ORIENTATION</v>
      </c>
      <c r="K155" s="3" t="b">
        <f ca="1"/>
        <v>0</v>
      </c>
      <c r="L155" s="3" t="b">
        <f ca="1"/>
        <v>0</v>
      </c>
      <c r="M155" t="b">
        <f ca="1"/>
        <v>0</v>
      </c>
      <c r="N155" t="b">
        <v>0</v>
      </c>
      <c r="O155" s="2"/>
    </row>
    <row r="156" spans="2:15" x14ac:dyDescent="0.2">
      <c r="B156" s="2">
        <v>45833</v>
      </c>
      <c r="C156" s="2" t="str">
        <f ca="1"/>
        <v>Not in scope</v>
      </c>
      <c r="D156" s="3">
        <v>3</v>
      </c>
      <c r="E156" s="3" t="b">
        <v>1</v>
      </c>
      <c r="F156" s="3" t="b">
        <v>0</v>
      </c>
      <c r="G156" s="3" t="b">
        <v>0</v>
      </c>
      <c r="H156" s="3" t="b">
        <v>0</v>
      </c>
      <c r="I156" s="3" t="b">
        <f ca="1"/>
        <v>0</v>
      </c>
      <c r="J156" s="3" t="str">
        <v>45833_ORIENTATION</v>
      </c>
      <c r="K156" s="3" t="b">
        <f ca="1"/>
        <v>0</v>
      </c>
      <c r="L156" s="3" t="b">
        <f ca="1"/>
        <v>0</v>
      </c>
      <c r="M156" t="b">
        <f ca="1"/>
        <v>0</v>
      </c>
      <c r="N156" t="b">
        <v>0</v>
      </c>
      <c r="O156" s="2"/>
    </row>
    <row r="157" spans="2:15" x14ac:dyDescent="0.2">
      <c r="B157" s="2">
        <v>45834</v>
      </c>
      <c r="C157" s="2" t="str">
        <f ca="1"/>
        <v>Not in scope</v>
      </c>
      <c r="D157" s="3">
        <v>4</v>
      </c>
      <c r="E157" s="3" t="b">
        <v>1</v>
      </c>
      <c r="F157" s="3" t="b">
        <v>0</v>
      </c>
      <c r="G157" s="3" t="b">
        <v>0</v>
      </c>
      <c r="H157" s="3" t="b">
        <v>0</v>
      </c>
      <c r="I157" s="3" t="b">
        <f ca="1"/>
        <v>0</v>
      </c>
      <c r="J157" s="3" t="str">
        <v>45834_ORIENTATION</v>
      </c>
      <c r="K157" s="3" t="b">
        <f ca="1"/>
        <v>0</v>
      </c>
      <c r="L157" s="3" t="b">
        <f ca="1"/>
        <v>0</v>
      </c>
      <c r="M157" t="b">
        <f ca="1"/>
        <v>0</v>
      </c>
      <c r="N157" t="b">
        <v>0</v>
      </c>
      <c r="O157" s="2"/>
    </row>
    <row r="158" spans="2:15" x14ac:dyDescent="0.2">
      <c r="B158" s="2">
        <v>45835</v>
      </c>
      <c r="C158" s="2" t="str">
        <f ca="1"/>
        <v>Jour semaine</v>
      </c>
      <c r="D158" s="3">
        <v>5</v>
      </c>
      <c r="E158" s="3" t="b">
        <v>1</v>
      </c>
      <c r="F158" s="3" t="b">
        <v>0</v>
      </c>
      <c r="G158" s="3" t="b">
        <v>0</v>
      </c>
      <c r="H158" s="3" t="b">
        <v>0</v>
      </c>
      <c r="I158" s="3" t="b">
        <f ca="1"/>
        <v>0</v>
      </c>
      <c r="J158" s="3" t="str">
        <v>45835_ORIENTATION</v>
      </c>
      <c r="K158" s="3" t="b">
        <f ca="1"/>
        <v>0</v>
      </c>
      <c r="L158" s="3" t="b">
        <f ca="1"/>
        <v>0</v>
      </c>
      <c r="M158" t="b">
        <f ca="1"/>
        <v>0</v>
      </c>
      <c r="N158" t="b">
        <v>1</v>
      </c>
      <c r="O158" s="2"/>
    </row>
    <row r="159" spans="2:15" x14ac:dyDescent="0.2">
      <c r="B159" s="2">
        <v>45836</v>
      </c>
      <c r="C159" s="2" t="str">
        <f ca="1"/>
        <v>Not in scope</v>
      </c>
      <c r="D159" s="3">
        <v>6</v>
      </c>
      <c r="E159" s="3" t="b">
        <v>0</v>
      </c>
      <c r="F159" s="3" t="b">
        <v>0</v>
      </c>
      <c r="G159" s="3" t="b">
        <v>0</v>
      </c>
      <c r="H159" s="3" t="b">
        <v>0</v>
      </c>
      <c r="I159" s="3" t="b">
        <f ca="1"/>
        <v>0</v>
      </c>
      <c r="J159" s="3" t="str">
        <v>45836_ORIENTATION</v>
      </c>
      <c r="K159" s="3" t="b">
        <f ca="1"/>
        <v>0</v>
      </c>
      <c r="L159" s="3" t="b">
        <f ca="1"/>
        <v>0</v>
      </c>
      <c r="M159" t="b">
        <f ca="1"/>
        <v>0</v>
      </c>
      <c r="N159" t="b">
        <v>0</v>
      </c>
      <c r="O159" s="2"/>
    </row>
    <row r="160" spans="2:15" x14ac:dyDescent="0.2">
      <c r="B160" s="2">
        <v>45837</v>
      </c>
      <c r="C160" s="2" t="str">
        <f ca="1"/>
        <v>Not in scope</v>
      </c>
      <c r="D160" s="3">
        <v>7</v>
      </c>
      <c r="E160" s="3" t="b">
        <v>0</v>
      </c>
      <c r="F160" s="3" t="b">
        <v>0</v>
      </c>
      <c r="G160" s="3" t="b">
        <v>0</v>
      </c>
      <c r="H160" s="3" t="b">
        <v>0</v>
      </c>
      <c r="I160" s="3" t="b">
        <f ca="1"/>
        <v>0</v>
      </c>
      <c r="J160" s="3" t="str">
        <v>45837_ORIENTATION</v>
      </c>
      <c r="K160" s="3" t="b">
        <f ca="1"/>
        <v>0</v>
      </c>
      <c r="L160" s="3" t="b">
        <f ca="1"/>
        <v>0</v>
      </c>
      <c r="M160" t="b">
        <f ca="1"/>
        <v>0</v>
      </c>
      <c r="N160" t="b">
        <v>0</v>
      </c>
      <c r="O160" s="2"/>
    </row>
    <row r="161" spans="2:15" x14ac:dyDescent="0.2">
      <c r="B161" s="2">
        <v>45838</v>
      </c>
      <c r="C161" s="2" t="str">
        <f ca="1"/>
        <v>Not in scope</v>
      </c>
      <c r="D161" s="3">
        <v>1</v>
      </c>
      <c r="E161" s="3" t="b">
        <v>1</v>
      </c>
      <c r="F161" s="3" t="b">
        <v>0</v>
      </c>
      <c r="G161" s="3" t="b">
        <v>0</v>
      </c>
      <c r="H161" s="3" t="b">
        <v>0</v>
      </c>
      <c r="I161" s="3" t="b">
        <f ca="1"/>
        <v>0</v>
      </c>
      <c r="J161" s="3" t="str">
        <v>45838_ORIENTATION</v>
      </c>
      <c r="K161" s="3" t="b">
        <f ca="1"/>
        <v>0</v>
      </c>
      <c r="L161" s="3" t="b">
        <f ca="1"/>
        <v>0</v>
      </c>
      <c r="M161" t="b">
        <f ca="1"/>
        <v>0</v>
      </c>
      <c r="N161" t="b">
        <v>0</v>
      </c>
      <c r="O161" s="2"/>
    </row>
    <row r="162" spans="2:15" x14ac:dyDescent="0.2">
      <c r="B162" s="2">
        <v>45839</v>
      </c>
      <c r="C162" s="2" t="str">
        <f ca="1"/>
        <v>Not in scope</v>
      </c>
      <c r="D162" s="3">
        <v>2</v>
      </c>
      <c r="E162" s="3" t="b">
        <v>1</v>
      </c>
      <c r="F162" s="3" t="b">
        <v>0</v>
      </c>
      <c r="G162" s="3" t="b">
        <v>0</v>
      </c>
      <c r="H162" s="3" t="b">
        <v>0</v>
      </c>
      <c r="I162" s="3" t="b">
        <f ca="1"/>
        <v>0</v>
      </c>
      <c r="J162" s="3" t="str">
        <v>45839_ORIENTATION</v>
      </c>
      <c r="K162" s="3" t="b">
        <f ca="1"/>
        <v>0</v>
      </c>
      <c r="L162" s="3" t="b">
        <f ca="1"/>
        <v>0</v>
      </c>
      <c r="M162" t="b">
        <f ca="1"/>
        <v>0</v>
      </c>
      <c r="N162" t="b">
        <v>0</v>
      </c>
      <c r="O162" s="2"/>
    </row>
    <row r="163" spans="2:15" x14ac:dyDescent="0.2">
      <c r="B163" s="2">
        <v>45840</v>
      </c>
      <c r="C163" s="2" t="str">
        <f ca="1"/>
        <v>Not in scope</v>
      </c>
      <c r="D163" s="3">
        <v>3</v>
      </c>
      <c r="E163" s="3" t="b">
        <v>1</v>
      </c>
      <c r="F163" s="3" t="b">
        <v>0</v>
      </c>
      <c r="G163" s="3" t="b">
        <v>0</v>
      </c>
      <c r="H163" s="3" t="b">
        <v>0</v>
      </c>
      <c r="I163" s="3" t="b">
        <f ca="1"/>
        <v>0</v>
      </c>
      <c r="J163" s="3" t="str">
        <v>45840_ORIENTATION</v>
      </c>
      <c r="K163" s="3" t="b">
        <f ca="1"/>
        <v>0</v>
      </c>
      <c r="L163" s="3" t="b">
        <f ca="1"/>
        <v>0</v>
      </c>
      <c r="M163" t="b">
        <f ca="1"/>
        <v>0</v>
      </c>
      <c r="N163" t="b">
        <v>0</v>
      </c>
      <c r="O163" s="2"/>
    </row>
    <row r="164" spans="2:15" x14ac:dyDescent="0.2">
      <c r="B164" s="2">
        <v>45841</v>
      </c>
      <c r="C164" s="2" t="str">
        <f ca="1"/>
        <v>Not in scope</v>
      </c>
      <c r="D164" s="3">
        <v>4</v>
      </c>
      <c r="E164" s="3" t="b">
        <v>1</v>
      </c>
      <c r="F164" s="3" t="b">
        <v>0</v>
      </c>
      <c r="G164" s="3" t="b">
        <v>0</v>
      </c>
      <c r="H164" s="3" t="b">
        <v>0</v>
      </c>
      <c r="I164" s="3" t="b">
        <f ca="1"/>
        <v>0</v>
      </c>
      <c r="J164" s="3" t="str">
        <v>45841_ORIENTATION</v>
      </c>
      <c r="K164" s="3" t="b">
        <f ca="1"/>
        <v>0</v>
      </c>
      <c r="L164" s="3" t="b">
        <f ca="1"/>
        <v>0</v>
      </c>
      <c r="M164" t="b">
        <f ca="1"/>
        <v>0</v>
      </c>
      <c r="N164" t="b">
        <v>0</v>
      </c>
      <c r="O164" s="2"/>
    </row>
    <row r="165" spans="2:15" x14ac:dyDescent="0.2">
      <c r="B165" s="2">
        <v>45842</v>
      </c>
      <c r="C165" s="2" t="str">
        <f ca="1"/>
        <v>Jour semaine</v>
      </c>
      <c r="D165" s="3">
        <v>5</v>
      </c>
      <c r="E165" s="3" t="b">
        <v>1</v>
      </c>
      <c r="F165" s="3" t="b">
        <v>0</v>
      </c>
      <c r="G165" s="3" t="b">
        <v>0</v>
      </c>
      <c r="H165" s="3" t="b">
        <v>0</v>
      </c>
      <c r="I165" s="3" t="b">
        <f ca="1"/>
        <v>0</v>
      </c>
      <c r="J165" s="3" t="str">
        <v>45842_ORIENTATION</v>
      </c>
      <c r="K165" s="3" t="b">
        <f ca="1"/>
        <v>0</v>
      </c>
      <c r="L165" s="3" t="b">
        <f ca="1"/>
        <v>0</v>
      </c>
      <c r="M165" t="b">
        <f ca="1"/>
        <v>0</v>
      </c>
      <c r="N165" t="b">
        <v>1</v>
      </c>
      <c r="O165" s="2"/>
    </row>
    <row r="166" spans="2:15" x14ac:dyDescent="0.2">
      <c r="B166" s="2">
        <v>45843</v>
      </c>
      <c r="C166" s="2" t="str">
        <f ca="1"/>
        <v>Not in scope</v>
      </c>
      <c r="D166" s="3">
        <v>6</v>
      </c>
      <c r="E166" s="3" t="b">
        <v>0</v>
      </c>
      <c r="F166" s="3" t="b">
        <v>0</v>
      </c>
      <c r="G166" s="3" t="b">
        <v>0</v>
      </c>
      <c r="H166" s="3" t="b">
        <v>0</v>
      </c>
      <c r="I166" s="3" t="b">
        <f ca="1"/>
        <v>0</v>
      </c>
      <c r="J166" s="3" t="str">
        <v>45843_ORIENTATION</v>
      </c>
      <c r="K166" s="3" t="b">
        <f ca="1"/>
        <v>0</v>
      </c>
      <c r="L166" s="3" t="b">
        <f ca="1"/>
        <v>0</v>
      </c>
      <c r="M166" t="b">
        <f ca="1"/>
        <v>0</v>
      </c>
      <c r="N166" t="b">
        <v>0</v>
      </c>
      <c r="O166" s="2"/>
    </row>
    <row r="167" spans="2:15" x14ac:dyDescent="0.2">
      <c r="B167" s="2">
        <v>45844</v>
      </c>
      <c r="C167" s="2" t="str">
        <f ca="1"/>
        <v>Not in scope</v>
      </c>
      <c r="D167" s="3">
        <v>7</v>
      </c>
      <c r="E167" s="3" t="b">
        <v>0</v>
      </c>
      <c r="F167" s="3" t="b">
        <v>0</v>
      </c>
      <c r="G167" s="3" t="b">
        <v>0</v>
      </c>
      <c r="H167" s="3" t="b">
        <v>0</v>
      </c>
      <c r="I167" s="3" t="b">
        <f ca="1"/>
        <v>0</v>
      </c>
      <c r="J167" s="3" t="str">
        <v>45844_ORIENTATION</v>
      </c>
      <c r="K167" s="3" t="b">
        <f ca="1"/>
        <v>0</v>
      </c>
      <c r="L167" s="3" t="b">
        <f ca="1"/>
        <v>0</v>
      </c>
      <c r="M167" t="b">
        <f ca="1"/>
        <v>0</v>
      </c>
      <c r="N167" t="b">
        <v>0</v>
      </c>
      <c r="O167" s="2"/>
    </row>
    <row r="168" spans="2:15" x14ac:dyDescent="0.2">
      <c r="B168" s="2">
        <v>45845</v>
      </c>
      <c r="C168" s="2" t="str">
        <f ca="1"/>
        <v>Not in scope</v>
      </c>
      <c r="D168" s="3">
        <v>1</v>
      </c>
      <c r="E168" s="3" t="b">
        <v>1</v>
      </c>
      <c r="F168" s="3" t="b">
        <v>0</v>
      </c>
      <c r="G168" s="3" t="b">
        <v>0</v>
      </c>
      <c r="H168" s="3" t="b">
        <v>0</v>
      </c>
      <c r="I168" s="3" t="b">
        <f ca="1"/>
        <v>0</v>
      </c>
      <c r="J168" s="3" t="str">
        <v>45845_ORIENTATION</v>
      </c>
      <c r="K168" s="3" t="b">
        <f ca="1"/>
        <v>0</v>
      </c>
      <c r="L168" s="3" t="b">
        <f ca="1"/>
        <v>0</v>
      </c>
      <c r="M168" t="b">
        <f ca="1"/>
        <v>0</v>
      </c>
      <c r="N168" t="b">
        <v>0</v>
      </c>
      <c r="O168" s="2"/>
    </row>
    <row r="169" spans="2:15" x14ac:dyDescent="0.2">
      <c r="B169" s="2">
        <v>45846</v>
      </c>
      <c r="C169" s="2" t="str">
        <f ca="1"/>
        <v>Not in scope</v>
      </c>
      <c r="D169" s="3">
        <v>2</v>
      </c>
      <c r="E169" s="3" t="b">
        <v>1</v>
      </c>
      <c r="F169" s="3" t="b">
        <v>0</v>
      </c>
      <c r="G169" s="3" t="b">
        <v>0</v>
      </c>
      <c r="H169" s="3" t="b">
        <v>0</v>
      </c>
      <c r="I169" s="3" t="b">
        <f ca="1"/>
        <v>0</v>
      </c>
      <c r="J169" s="3" t="str">
        <v>45846_ORIENTATION</v>
      </c>
      <c r="K169" s="3" t="b">
        <f ca="1"/>
        <v>0</v>
      </c>
      <c r="L169" s="3" t="b">
        <f ca="1"/>
        <v>0</v>
      </c>
      <c r="M169" t="b">
        <f ca="1"/>
        <v>0</v>
      </c>
      <c r="N169" t="b">
        <v>0</v>
      </c>
      <c r="O169" s="2"/>
    </row>
    <row r="170" spans="2:15" x14ac:dyDescent="0.2">
      <c r="B170" s="2">
        <v>45847</v>
      </c>
      <c r="C170" s="2" t="str">
        <f ca="1"/>
        <v>Not in scope</v>
      </c>
      <c r="D170" s="3">
        <v>3</v>
      </c>
      <c r="E170" s="3" t="b">
        <v>1</v>
      </c>
      <c r="F170" s="3" t="b">
        <v>0</v>
      </c>
      <c r="G170" s="3" t="b">
        <v>0</v>
      </c>
      <c r="H170" s="3" t="b">
        <v>0</v>
      </c>
      <c r="I170" s="3" t="b">
        <f ca="1"/>
        <v>0</v>
      </c>
      <c r="J170" s="3" t="str">
        <v>45847_ORIENTATION</v>
      </c>
      <c r="K170" s="3" t="b">
        <f ca="1"/>
        <v>0</v>
      </c>
      <c r="L170" s="3" t="b">
        <f ca="1"/>
        <v>0</v>
      </c>
      <c r="M170" t="b">
        <f ca="1"/>
        <v>0</v>
      </c>
      <c r="N170" t="b">
        <v>0</v>
      </c>
      <c r="O170" s="2"/>
    </row>
    <row r="171" spans="2:15" x14ac:dyDescent="0.2">
      <c r="B171" s="2">
        <v>45848</v>
      </c>
      <c r="C171" s="2" t="str">
        <f ca="1"/>
        <v>Not in scope</v>
      </c>
      <c r="D171" s="3">
        <v>4</v>
      </c>
      <c r="E171" s="3" t="b">
        <v>1</v>
      </c>
      <c r="F171" s="3" t="b">
        <v>0</v>
      </c>
      <c r="G171" s="3" t="b">
        <v>0</v>
      </c>
      <c r="H171" s="3" t="b">
        <v>0</v>
      </c>
      <c r="I171" s="3" t="b">
        <f ca="1"/>
        <v>0</v>
      </c>
      <c r="J171" s="3" t="str">
        <v>45848_ORIENTATION</v>
      </c>
      <c r="K171" s="3" t="b">
        <f ca="1"/>
        <v>0</v>
      </c>
      <c r="L171" s="3" t="b">
        <f ca="1"/>
        <v>0</v>
      </c>
      <c r="M171" t="b">
        <f ca="1"/>
        <v>0</v>
      </c>
      <c r="N171" t="b">
        <v>0</v>
      </c>
      <c r="O171" s="2"/>
    </row>
    <row r="172" spans="2:15" x14ac:dyDescent="0.2">
      <c r="B172" s="2">
        <v>45849</v>
      </c>
      <c r="C172" s="2" t="str">
        <f ca="1"/>
        <v>Jour semaine</v>
      </c>
      <c r="D172" s="3">
        <v>5</v>
      </c>
      <c r="E172" s="3" t="b">
        <v>1</v>
      </c>
      <c r="F172" s="3" t="b">
        <v>0</v>
      </c>
      <c r="G172" s="3" t="b">
        <v>0</v>
      </c>
      <c r="H172" s="3" t="b">
        <v>0</v>
      </c>
      <c r="I172" s="3" t="b">
        <f ca="1"/>
        <v>0</v>
      </c>
      <c r="J172" s="3" t="str">
        <v>45849_ORIENTATION</v>
      </c>
      <c r="K172" s="3" t="b">
        <f ca="1"/>
        <v>0</v>
      </c>
      <c r="L172" s="3" t="b">
        <f ca="1"/>
        <v>0</v>
      </c>
      <c r="M172" t="b">
        <f ca="1"/>
        <v>0</v>
      </c>
      <c r="N172" t="b">
        <v>1</v>
      </c>
      <c r="O172" s="2"/>
    </row>
    <row r="173" spans="2:15" x14ac:dyDescent="0.2">
      <c r="B173" s="2">
        <v>45850</v>
      </c>
      <c r="C173" s="2" t="str">
        <f ca="1"/>
        <v>Not in scope</v>
      </c>
      <c r="D173" s="3">
        <v>6</v>
      </c>
      <c r="E173" s="3" t="b">
        <v>0</v>
      </c>
      <c r="F173" s="3" t="b">
        <v>0</v>
      </c>
      <c r="G173" s="3" t="b">
        <v>0</v>
      </c>
      <c r="H173" s="3" t="b">
        <v>0</v>
      </c>
      <c r="I173" s="3" t="b">
        <f ca="1"/>
        <v>0</v>
      </c>
      <c r="J173" s="3" t="str">
        <v>45850_ORIENTATION</v>
      </c>
      <c r="K173" s="3" t="b">
        <f ca="1"/>
        <v>0</v>
      </c>
      <c r="L173" s="3" t="b">
        <f ca="1"/>
        <v>0</v>
      </c>
      <c r="M173" t="b">
        <f ca="1"/>
        <v>0</v>
      </c>
      <c r="N173" t="b">
        <v>0</v>
      </c>
      <c r="O173" s="2"/>
    </row>
    <row r="174" spans="2:15" x14ac:dyDescent="0.2">
      <c r="B174" s="2">
        <v>45851</v>
      </c>
      <c r="C174" s="2" t="str">
        <f ca="1"/>
        <v>Not in scope</v>
      </c>
      <c r="D174" s="3">
        <v>7</v>
      </c>
      <c r="E174" s="3" t="b">
        <v>0</v>
      </c>
      <c r="F174" s="3" t="b">
        <v>0</v>
      </c>
      <c r="G174" s="3" t="b">
        <v>0</v>
      </c>
      <c r="H174" s="3" t="b">
        <v>0</v>
      </c>
      <c r="I174" s="3" t="b">
        <f ca="1"/>
        <v>0</v>
      </c>
      <c r="J174" s="3" t="str">
        <v>45851_ORIENTATION</v>
      </c>
      <c r="K174" s="3" t="b">
        <f ca="1"/>
        <v>0</v>
      </c>
      <c r="L174" s="3" t="b">
        <f ca="1"/>
        <v>0</v>
      </c>
      <c r="M174" t="b">
        <f ca="1"/>
        <v>0</v>
      </c>
      <c r="N174" t="b">
        <v>0</v>
      </c>
      <c r="O174" s="2"/>
    </row>
    <row r="175" spans="2:15" x14ac:dyDescent="0.2">
      <c r="B175" s="2">
        <v>45852</v>
      </c>
      <c r="C175" s="2" t="str">
        <f ca="1"/>
        <v>Not in scope</v>
      </c>
      <c r="D175" s="3">
        <v>1</v>
      </c>
      <c r="E175" s="3" t="b">
        <v>1</v>
      </c>
      <c r="F175" s="3" t="b">
        <v>1</v>
      </c>
      <c r="G175" s="3" t="b">
        <v>0</v>
      </c>
      <c r="H175" s="3" t="b">
        <v>0</v>
      </c>
      <c r="I175" s="3" t="b">
        <f ca="1"/>
        <v>0</v>
      </c>
      <c r="J175" s="3" t="str">
        <v>45852_ORIENTATION</v>
      </c>
      <c r="K175" s="3" t="b">
        <f ca="1"/>
        <v>0</v>
      </c>
      <c r="L175" s="3" t="b">
        <f ca="1"/>
        <v>0</v>
      </c>
      <c r="M175" t="b">
        <f ca="1"/>
        <v>0</v>
      </c>
      <c r="N175" t="b">
        <v>0</v>
      </c>
      <c r="O175" s="2"/>
    </row>
    <row r="176" spans="2:15" x14ac:dyDescent="0.2">
      <c r="B176" s="2">
        <v>45853</v>
      </c>
      <c r="C176" s="2" t="str">
        <f ca="1"/>
        <v>Not in scope</v>
      </c>
      <c r="D176" s="3">
        <v>2</v>
      </c>
      <c r="E176" s="3" t="b">
        <v>1</v>
      </c>
      <c r="F176" s="3" t="b">
        <v>0</v>
      </c>
      <c r="G176" s="3" t="b">
        <v>0</v>
      </c>
      <c r="H176" s="3" t="b">
        <v>0</v>
      </c>
      <c r="I176" s="3" t="b">
        <f ca="1"/>
        <v>0</v>
      </c>
      <c r="J176" s="3" t="str">
        <v>45853_ORIENTATION</v>
      </c>
      <c r="K176" s="3" t="b">
        <f ca="1"/>
        <v>0</v>
      </c>
      <c r="L176" s="3" t="b">
        <f ca="1"/>
        <v>0</v>
      </c>
      <c r="M176" t="b">
        <f ca="1"/>
        <v>0</v>
      </c>
      <c r="N176" t="b">
        <v>0</v>
      </c>
      <c r="O176" s="2"/>
    </row>
    <row r="177" spans="2:15" x14ac:dyDescent="0.2">
      <c r="B177" s="2">
        <v>45854</v>
      </c>
      <c r="C177" s="2" t="str">
        <f ca="1"/>
        <v>Not in scope</v>
      </c>
      <c r="D177" s="3">
        <v>3</v>
      </c>
      <c r="E177" s="3" t="b">
        <v>1</v>
      </c>
      <c r="F177" s="3" t="b">
        <v>0</v>
      </c>
      <c r="G177" s="3" t="b">
        <v>0</v>
      </c>
      <c r="H177" s="3" t="b">
        <v>0</v>
      </c>
      <c r="I177" s="3" t="b">
        <f ca="1"/>
        <v>0</v>
      </c>
      <c r="J177" s="3" t="str">
        <v>45854_ORIENTATION</v>
      </c>
      <c r="K177" s="3" t="b">
        <f ca="1"/>
        <v>0</v>
      </c>
      <c r="L177" s="3" t="b">
        <f ca="1"/>
        <v>0</v>
      </c>
      <c r="M177" t="b">
        <f ca="1"/>
        <v>0</v>
      </c>
      <c r="N177" t="b">
        <v>0</v>
      </c>
      <c r="O177" s="2"/>
    </row>
    <row r="178" spans="2:15" x14ac:dyDescent="0.2">
      <c r="B178" s="2">
        <v>45855</v>
      </c>
      <c r="C178" s="2" t="str">
        <f ca="1"/>
        <v>Not in scope</v>
      </c>
      <c r="D178" s="3">
        <v>4</v>
      </c>
      <c r="E178" s="3" t="b">
        <v>1</v>
      </c>
      <c r="F178" s="3" t="b">
        <v>0</v>
      </c>
      <c r="G178" s="3" t="b">
        <v>0</v>
      </c>
      <c r="H178" s="3" t="b">
        <v>0</v>
      </c>
      <c r="I178" s="3" t="b">
        <f ca="1"/>
        <v>0</v>
      </c>
      <c r="J178" s="3" t="str">
        <v>45855_ORIENTATION</v>
      </c>
      <c r="K178" s="3" t="b">
        <f ca="1"/>
        <v>0</v>
      </c>
      <c r="L178" s="3" t="b">
        <f ca="1"/>
        <v>0</v>
      </c>
      <c r="M178" t="b">
        <f ca="1"/>
        <v>0</v>
      </c>
      <c r="N178" t="b">
        <v>0</v>
      </c>
      <c r="O178" s="2"/>
    </row>
    <row r="179" spans="2:15" x14ac:dyDescent="0.2">
      <c r="B179" s="2">
        <v>45856</v>
      </c>
      <c r="C179" s="2" t="str">
        <f ca="1"/>
        <v>Jour semaine</v>
      </c>
      <c r="D179" s="3">
        <v>5</v>
      </c>
      <c r="E179" s="3" t="b">
        <v>1</v>
      </c>
      <c r="F179" s="3" t="b">
        <v>0</v>
      </c>
      <c r="G179" s="3" t="b">
        <v>0</v>
      </c>
      <c r="H179" s="3" t="b">
        <v>0</v>
      </c>
      <c r="I179" s="3" t="b">
        <f ca="1"/>
        <v>0</v>
      </c>
      <c r="J179" s="3" t="str">
        <v>45856_ORIENTATION</v>
      </c>
      <c r="K179" s="3" t="b">
        <f ca="1"/>
        <v>0</v>
      </c>
      <c r="L179" s="3" t="b">
        <f ca="1"/>
        <v>0</v>
      </c>
      <c r="M179" t="b">
        <f ca="1"/>
        <v>0</v>
      </c>
      <c r="N179" t="b">
        <v>1</v>
      </c>
      <c r="O179" s="2"/>
    </row>
    <row r="180" spans="2:15" x14ac:dyDescent="0.2">
      <c r="B180" s="2">
        <v>45857</v>
      </c>
      <c r="C180" s="2" t="str">
        <f ca="1"/>
        <v>Not in scope</v>
      </c>
      <c r="D180" s="3">
        <v>6</v>
      </c>
      <c r="E180" s="3" t="b">
        <v>0</v>
      </c>
      <c r="F180" s="3" t="b">
        <v>0</v>
      </c>
      <c r="G180" s="3" t="b">
        <v>0</v>
      </c>
      <c r="H180" s="3" t="b">
        <v>0</v>
      </c>
      <c r="I180" s="3" t="b">
        <f ca="1"/>
        <v>0</v>
      </c>
      <c r="J180" s="3" t="str">
        <v>45857_ORIENTATION</v>
      </c>
      <c r="K180" s="3" t="b">
        <f ca="1"/>
        <v>0</v>
      </c>
      <c r="L180" s="3" t="b">
        <f ca="1"/>
        <v>0</v>
      </c>
      <c r="M180" t="b">
        <f ca="1"/>
        <v>0</v>
      </c>
      <c r="N180" t="b">
        <v>0</v>
      </c>
      <c r="O180" s="2"/>
    </row>
    <row r="181" spans="2:15" x14ac:dyDescent="0.2">
      <c r="B181" s="2">
        <v>45858</v>
      </c>
      <c r="C181" s="2" t="str">
        <f ca="1"/>
        <v>Not in scope</v>
      </c>
      <c r="D181" s="3">
        <v>7</v>
      </c>
      <c r="E181" s="3" t="b">
        <v>0</v>
      </c>
      <c r="F181" s="3" t="b">
        <v>0</v>
      </c>
      <c r="G181" s="3" t="b">
        <v>0</v>
      </c>
      <c r="H181" s="3" t="b">
        <v>0</v>
      </c>
      <c r="I181" s="3" t="b">
        <f ca="1"/>
        <v>0</v>
      </c>
      <c r="J181" s="3" t="str">
        <v>45858_ORIENTATION</v>
      </c>
      <c r="K181" s="3" t="b">
        <f ca="1"/>
        <v>0</v>
      </c>
      <c r="L181" s="3" t="b">
        <f ca="1"/>
        <v>0</v>
      </c>
      <c r="M181" t="b">
        <f ca="1"/>
        <v>0</v>
      </c>
      <c r="N181" t="b">
        <v>0</v>
      </c>
      <c r="O181" s="2"/>
    </row>
    <row r="182" spans="2:15" x14ac:dyDescent="0.2">
      <c r="B182" s="2">
        <v>45859</v>
      </c>
      <c r="C182" s="2" t="str">
        <f ca="1"/>
        <v>Not in scope</v>
      </c>
      <c r="D182" s="3">
        <v>1</v>
      </c>
      <c r="E182" s="3" t="b">
        <v>1</v>
      </c>
      <c r="F182" s="3" t="b">
        <v>0</v>
      </c>
      <c r="G182" s="3" t="b">
        <v>0</v>
      </c>
      <c r="H182" s="3" t="b">
        <v>0</v>
      </c>
      <c r="I182" s="3" t="b">
        <f ca="1"/>
        <v>0</v>
      </c>
      <c r="J182" s="3" t="str">
        <v>45859_ORIENTATION</v>
      </c>
      <c r="K182" s="3" t="b">
        <f ca="1"/>
        <v>0</v>
      </c>
      <c r="L182" s="3" t="b">
        <f ca="1"/>
        <v>0</v>
      </c>
      <c r="M182" t="b">
        <f ca="1"/>
        <v>0</v>
      </c>
      <c r="N182" t="b">
        <v>0</v>
      </c>
      <c r="O182" s="2"/>
    </row>
    <row r="183" spans="2:15" x14ac:dyDescent="0.2">
      <c r="B183" s="2">
        <v>45860</v>
      </c>
      <c r="C183" s="2" t="str">
        <f ca="1"/>
        <v>Not in scope</v>
      </c>
      <c r="D183" s="3">
        <v>2</v>
      </c>
      <c r="E183" s="3" t="b">
        <v>1</v>
      </c>
      <c r="F183" s="3" t="b">
        <v>0</v>
      </c>
      <c r="G183" s="3" t="b">
        <v>0</v>
      </c>
      <c r="H183" s="3" t="b">
        <v>0</v>
      </c>
      <c r="I183" s="3" t="b">
        <f ca="1"/>
        <v>0</v>
      </c>
      <c r="J183" s="3" t="str">
        <v>45860_ORIENTATION</v>
      </c>
      <c r="K183" s="3" t="b">
        <f ca="1"/>
        <v>0</v>
      </c>
      <c r="L183" s="3" t="b">
        <f ca="1"/>
        <v>0</v>
      </c>
      <c r="M183" t="b">
        <f ca="1"/>
        <v>0</v>
      </c>
      <c r="N183" t="b">
        <v>0</v>
      </c>
      <c r="O183" s="2"/>
    </row>
    <row r="184" spans="2:15" x14ac:dyDescent="0.2">
      <c r="B184" s="2">
        <v>45861</v>
      </c>
      <c r="C184" s="2" t="str">
        <f ca="1"/>
        <v>Not in scope</v>
      </c>
      <c r="D184" s="3">
        <v>3</v>
      </c>
      <c r="E184" s="3" t="b">
        <v>1</v>
      </c>
      <c r="F184" s="3" t="b">
        <v>0</v>
      </c>
      <c r="G184" s="3" t="b">
        <v>0</v>
      </c>
      <c r="H184" s="3" t="b">
        <v>0</v>
      </c>
      <c r="I184" s="3" t="b">
        <f ca="1"/>
        <v>0</v>
      </c>
      <c r="J184" s="3" t="str">
        <v>45861_ORIENTATION</v>
      </c>
      <c r="K184" s="3" t="b">
        <f ca="1"/>
        <v>0</v>
      </c>
      <c r="L184" s="3" t="b">
        <f ca="1"/>
        <v>0</v>
      </c>
      <c r="M184" t="b">
        <f ca="1"/>
        <v>0</v>
      </c>
      <c r="N184" t="b">
        <v>0</v>
      </c>
      <c r="O184" s="2"/>
    </row>
    <row r="185" spans="2:15" x14ac:dyDescent="0.2">
      <c r="B185" s="2">
        <v>45862</v>
      </c>
      <c r="C185" s="2" t="str">
        <f ca="1"/>
        <v>Not in scope</v>
      </c>
      <c r="D185" s="3">
        <v>4</v>
      </c>
      <c r="E185" s="3" t="b">
        <v>1</v>
      </c>
      <c r="F185" s="3" t="b">
        <v>0</v>
      </c>
      <c r="G185" s="3" t="b">
        <v>0</v>
      </c>
      <c r="H185" s="3" t="b">
        <v>0</v>
      </c>
      <c r="I185" s="3" t="b">
        <f ca="1"/>
        <v>0</v>
      </c>
      <c r="J185" s="3" t="str">
        <v>45862_ORIENTATION</v>
      </c>
      <c r="K185" s="3" t="b">
        <f ca="1"/>
        <v>0</v>
      </c>
      <c r="L185" s="3" t="b">
        <f ca="1"/>
        <v>0</v>
      </c>
      <c r="M185" t="b">
        <f ca="1"/>
        <v>0</v>
      </c>
      <c r="N185" t="b">
        <v>0</v>
      </c>
      <c r="O185" s="2"/>
    </row>
    <row r="186" spans="2:15" x14ac:dyDescent="0.2">
      <c r="B186" s="2">
        <v>45863</v>
      </c>
      <c r="C186" s="2" t="str">
        <f ca="1"/>
        <v>Jour semaine</v>
      </c>
      <c r="D186" s="3">
        <v>5</v>
      </c>
      <c r="E186" s="3" t="b">
        <v>1</v>
      </c>
      <c r="F186" s="3" t="b">
        <v>0</v>
      </c>
      <c r="G186" s="3" t="b">
        <v>0</v>
      </c>
      <c r="H186" s="3" t="b">
        <v>0</v>
      </c>
      <c r="I186" s="3" t="b">
        <f ca="1"/>
        <v>0</v>
      </c>
      <c r="J186" s="3" t="str">
        <v>45863_ORIENTATION</v>
      </c>
      <c r="K186" s="3" t="b">
        <f ca="1"/>
        <v>0</v>
      </c>
      <c r="L186" s="3" t="b">
        <f ca="1"/>
        <v>0</v>
      </c>
      <c r="M186" t="b">
        <f ca="1"/>
        <v>0</v>
      </c>
      <c r="N186" t="b">
        <v>1</v>
      </c>
      <c r="O186" s="2"/>
    </row>
    <row r="187" spans="2:15" x14ac:dyDescent="0.2">
      <c r="B187" s="2">
        <v>45864</v>
      </c>
      <c r="C187" s="2" t="str">
        <f ca="1"/>
        <v>Not in scope</v>
      </c>
      <c r="D187" s="3">
        <v>6</v>
      </c>
      <c r="E187" s="3" t="b">
        <v>0</v>
      </c>
      <c r="F187" s="3" t="b">
        <v>0</v>
      </c>
      <c r="G187" s="3" t="b">
        <v>0</v>
      </c>
      <c r="H187" s="3" t="b">
        <v>0</v>
      </c>
      <c r="I187" s="3" t="b">
        <f ca="1"/>
        <v>0</v>
      </c>
      <c r="J187" s="3" t="str">
        <v>45864_ORIENTATION</v>
      </c>
      <c r="K187" s="3" t="b">
        <f ca="1"/>
        <v>0</v>
      </c>
      <c r="L187" s="3" t="b">
        <f ca="1"/>
        <v>0</v>
      </c>
      <c r="M187" t="b">
        <f ca="1"/>
        <v>0</v>
      </c>
      <c r="N187" t="b">
        <v>0</v>
      </c>
      <c r="O187" s="2"/>
    </row>
    <row r="188" spans="2:15" x14ac:dyDescent="0.2">
      <c r="B188" s="2">
        <v>45865</v>
      </c>
      <c r="C188" s="2" t="str">
        <f ca="1"/>
        <v>Not in scope</v>
      </c>
      <c r="D188" s="3">
        <v>7</v>
      </c>
      <c r="E188" s="3" t="b">
        <v>0</v>
      </c>
      <c r="F188" s="3" t="b">
        <v>0</v>
      </c>
      <c r="G188" s="3" t="b">
        <v>0</v>
      </c>
      <c r="H188" s="3" t="b">
        <v>0</v>
      </c>
      <c r="I188" s="3" t="b">
        <f ca="1"/>
        <v>0</v>
      </c>
      <c r="J188" s="3" t="str">
        <v>45865_ORIENTATION</v>
      </c>
      <c r="K188" s="3" t="b">
        <f ca="1"/>
        <v>0</v>
      </c>
      <c r="L188" s="3" t="b">
        <f ca="1"/>
        <v>0</v>
      </c>
      <c r="M188" t="b">
        <f ca="1"/>
        <v>0</v>
      </c>
      <c r="N188" t="b">
        <v>0</v>
      </c>
      <c r="O188" s="2"/>
    </row>
    <row r="189" spans="2:15" x14ac:dyDescent="0.2">
      <c r="B189" s="2">
        <v>45866</v>
      </c>
      <c r="C189" s="2" t="str">
        <f ca="1"/>
        <v>Not in scope</v>
      </c>
      <c r="D189" s="3">
        <v>1</v>
      </c>
      <c r="E189" s="3" t="b">
        <v>1</v>
      </c>
      <c r="F189" s="3" t="b">
        <v>0</v>
      </c>
      <c r="G189" s="3" t="b">
        <v>0</v>
      </c>
      <c r="H189" s="3" t="b">
        <v>1</v>
      </c>
      <c r="I189" s="3" t="b">
        <f ca="1"/>
        <v>0</v>
      </c>
      <c r="J189" s="3" t="str">
        <v>45866_ORIENTATION</v>
      </c>
      <c r="K189" s="3" t="b">
        <f ca="1"/>
        <v>0</v>
      </c>
      <c r="L189" s="3" t="b">
        <f ca="1"/>
        <v>0</v>
      </c>
      <c r="M189" t="b">
        <f ca="1"/>
        <v>0</v>
      </c>
      <c r="N189" t="b">
        <v>0</v>
      </c>
      <c r="O189" s="2"/>
    </row>
    <row r="190" spans="2:15" x14ac:dyDescent="0.2">
      <c r="B190" s="2">
        <v>45867</v>
      </c>
      <c r="C190" s="2" t="str">
        <f ca="1"/>
        <v>Not in scope</v>
      </c>
      <c r="D190" s="3">
        <v>2</v>
      </c>
      <c r="E190" s="3" t="b">
        <v>1</v>
      </c>
      <c r="F190" s="3" t="b">
        <v>0</v>
      </c>
      <c r="G190" s="3" t="b">
        <v>0</v>
      </c>
      <c r="H190" s="3" t="b">
        <v>1</v>
      </c>
      <c r="I190" s="3" t="b">
        <f ca="1"/>
        <v>1</v>
      </c>
      <c r="J190" s="3" t="str">
        <v>45867_ORIENTATION</v>
      </c>
      <c r="K190" s="3" t="b">
        <f ca="1"/>
        <v>0</v>
      </c>
      <c r="L190" s="3" t="b">
        <f ca="1"/>
        <v>0</v>
      </c>
      <c r="M190" t="b">
        <f ca="1"/>
        <v>0</v>
      </c>
      <c r="N190" t="b">
        <v>0</v>
      </c>
      <c r="O190" s="2"/>
    </row>
    <row r="191" spans="2:15" x14ac:dyDescent="0.2">
      <c r="B191" s="2">
        <v>45868</v>
      </c>
      <c r="C191" s="2" t="str">
        <f ca="1"/>
        <v>Not in scope</v>
      </c>
      <c r="D191" s="3">
        <v>3</v>
      </c>
      <c r="E191" s="3" t="b">
        <v>1</v>
      </c>
      <c r="F191" s="3" t="b">
        <v>0</v>
      </c>
      <c r="G191" s="3" t="b">
        <v>0</v>
      </c>
      <c r="H191" s="3" t="b">
        <v>1</v>
      </c>
      <c r="I191" s="3" t="b">
        <f ca="1"/>
        <v>1</v>
      </c>
      <c r="J191" s="3" t="str">
        <v>45868_ORIENTATION</v>
      </c>
      <c r="K191" s="3" t="b">
        <f ca="1"/>
        <v>0</v>
      </c>
      <c r="L191" s="3" t="b">
        <f ca="1"/>
        <v>0</v>
      </c>
      <c r="M191" t="b">
        <f ca="1"/>
        <v>0</v>
      </c>
      <c r="N191" t="b">
        <v>0</v>
      </c>
      <c r="O191" s="2"/>
    </row>
    <row r="192" spans="2:15" x14ac:dyDescent="0.2">
      <c r="B192" s="2">
        <v>45869</v>
      </c>
      <c r="C192" s="2" t="str">
        <f ca="1"/>
        <v>Not in scope</v>
      </c>
      <c r="D192" s="3">
        <v>4</v>
      </c>
      <c r="E192" s="3" t="b">
        <v>1</v>
      </c>
      <c r="F192" s="3" t="b">
        <v>0</v>
      </c>
      <c r="G192" s="3" t="b">
        <v>0</v>
      </c>
      <c r="H192" s="3" t="b">
        <v>1</v>
      </c>
      <c r="I192" s="3" t="b">
        <f ca="1"/>
        <v>0</v>
      </c>
      <c r="J192" s="3" t="str">
        <v>45869_ORIENTATION</v>
      </c>
      <c r="K192" s="3" t="b">
        <f ca="1"/>
        <v>0</v>
      </c>
      <c r="L192" s="3" t="b">
        <f ca="1"/>
        <v>0</v>
      </c>
      <c r="M192" t="b">
        <f ca="1"/>
        <v>0</v>
      </c>
      <c r="N192" t="b">
        <v>0</v>
      </c>
      <c r="O192" s="2"/>
    </row>
    <row r="193" spans="2:15" x14ac:dyDescent="0.2">
      <c r="B193" s="2">
        <v>45870</v>
      </c>
      <c r="C193" s="2" t="str">
        <f ca="1"/>
        <v>Jour semaine vacation été</v>
      </c>
      <c r="D193" s="3">
        <v>5</v>
      </c>
      <c r="E193" s="3" t="b">
        <v>1</v>
      </c>
      <c r="F193" s="3" t="b">
        <v>0</v>
      </c>
      <c r="G193" s="3" t="b">
        <v>0</v>
      </c>
      <c r="H193" s="3" t="b">
        <v>1</v>
      </c>
      <c r="I193" s="3" t="b">
        <f ca="1"/>
        <v>0</v>
      </c>
      <c r="J193" s="3" t="str">
        <v>45870_ORIENTATION</v>
      </c>
      <c r="K193" s="3" t="b">
        <f ca="1"/>
        <v>0</v>
      </c>
      <c r="L193" s="3" t="b">
        <f ca="1"/>
        <v>0</v>
      </c>
      <c r="M193" t="b">
        <f ca="1"/>
        <v>0</v>
      </c>
      <c r="N193" t="b">
        <v>1</v>
      </c>
      <c r="O193" s="2"/>
    </row>
    <row r="194" spans="2:15" x14ac:dyDescent="0.2">
      <c r="B194" s="2">
        <v>45871</v>
      </c>
      <c r="C194" s="2" t="str">
        <f ca="1"/>
        <v>Not in scope</v>
      </c>
      <c r="D194" s="3">
        <v>6</v>
      </c>
      <c r="E194" s="3" t="b">
        <v>0</v>
      </c>
      <c r="F194" s="3" t="b">
        <v>0</v>
      </c>
      <c r="G194" s="3" t="b">
        <v>0</v>
      </c>
      <c r="H194" s="3" t="b">
        <v>1</v>
      </c>
      <c r="I194" s="3" t="b">
        <f ca="1"/>
        <v>0</v>
      </c>
      <c r="J194" s="3" t="str">
        <v>45871_ORIENTATION</v>
      </c>
      <c r="K194" s="3" t="b">
        <f ca="1"/>
        <v>0</v>
      </c>
      <c r="L194" s="3" t="b">
        <f ca="1"/>
        <v>0</v>
      </c>
      <c r="M194" t="b">
        <f ca="1"/>
        <v>0</v>
      </c>
      <c r="N194" t="b">
        <v>0</v>
      </c>
      <c r="O194" s="2"/>
    </row>
    <row r="195" spans="2:15" x14ac:dyDescent="0.2">
      <c r="B195" s="2">
        <v>45872</v>
      </c>
      <c r="C195" s="2" t="str">
        <f ca="1"/>
        <v>Not in scope</v>
      </c>
      <c r="D195" s="3">
        <v>7</v>
      </c>
      <c r="E195" s="3" t="b">
        <v>0</v>
      </c>
      <c r="F195" s="3" t="b">
        <v>0</v>
      </c>
      <c r="G195" s="3" t="b">
        <v>0</v>
      </c>
      <c r="H195" s="3" t="b">
        <v>1</v>
      </c>
      <c r="I195" s="3" t="b">
        <f ca="1"/>
        <v>0</v>
      </c>
      <c r="J195" s="3" t="str">
        <v>45872_ORIENTATION</v>
      </c>
      <c r="K195" s="3" t="b">
        <f ca="1"/>
        <v>0</v>
      </c>
      <c r="L195" s="3" t="b">
        <f ca="1"/>
        <v>0</v>
      </c>
      <c r="M195" t="b">
        <f ca="1"/>
        <v>0</v>
      </c>
      <c r="N195" t="b">
        <v>0</v>
      </c>
      <c r="O195" s="2"/>
    </row>
    <row r="196" spans="2:15" x14ac:dyDescent="0.2">
      <c r="B196" s="2">
        <v>45873</v>
      </c>
      <c r="C196" s="2" t="str">
        <f ca="1"/>
        <v>Not in scope</v>
      </c>
      <c r="D196" s="3">
        <v>1</v>
      </c>
      <c r="E196" s="3" t="b">
        <v>1</v>
      </c>
      <c r="F196" s="3" t="b">
        <v>0</v>
      </c>
      <c r="G196" s="3" t="b">
        <v>0</v>
      </c>
      <c r="H196" s="3" t="b">
        <v>1</v>
      </c>
      <c r="I196" s="3" t="b">
        <f ca="1"/>
        <v>0</v>
      </c>
      <c r="J196" s="3" t="str">
        <v>45873_ORIENTATION</v>
      </c>
      <c r="K196" s="3" t="b">
        <f ca="1"/>
        <v>0</v>
      </c>
      <c r="L196" s="3" t="b">
        <f ca="1"/>
        <v>0</v>
      </c>
      <c r="M196" t="b">
        <f ca="1"/>
        <v>0</v>
      </c>
      <c r="N196" t="b">
        <v>0</v>
      </c>
      <c r="O196" s="2"/>
    </row>
    <row r="197" spans="2:15" x14ac:dyDescent="0.2">
      <c r="B197" s="2">
        <v>45874</v>
      </c>
      <c r="C197" s="2" t="str">
        <f ca="1"/>
        <v>Not in scope</v>
      </c>
      <c r="D197" s="3">
        <v>2</v>
      </c>
      <c r="E197" s="3" t="b">
        <v>1</v>
      </c>
      <c r="F197" s="3" t="b">
        <v>0</v>
      </c>
      <c r="G197" s="3" t="b">
        <v>0</v>
      </c>
      <c r="H197" s="3" t="b">
        <v>1</v>
      </c>
      <c r="I197" s="3" t="b">
        <f ca="1"/>
        <v>1</v>
      </c>
      <c r="J197" s="3" t="str">
        <v>45874_ORIENTATION</v>
      </c>
      <c r="K197" s="3" t="b">
        <f ca="1"/>
        <v>0</v>
      </c>
      <c r="L197" s="3" t="b">
        <f ca="1"/>
        <v>0</v>
      </c>
      <c r="M197" t="b">
        <f ca="1"/>
        <v>0</v>
      </c>
      <c r="N197" t="b">
        <v>0</v>
      </c>
      <c r="O197" s="2"/>
    </row>
    <row r="198" spans="2:15" x14ac:dyDescent="0.2">
      <c r="B198" s="2">
        <v>45875</v>
      </c>
      <c r="C198" s="2" t="str">
        <f ca="1"/>
        <v>Not in scope</v>
      </c>
      <c r="D198" s="3">
        <v>3</v>
      </c>
      <c r="E198" s="3" t="b">
        <v>1</v>
      </c>
      <c r="F198" s="3" t="b">
        <v>0</v>
      </c>
      <c r="G198" s="3" t="b">
        <v>0</v>
      </c>
      <c r="H198" s="3" t="b">
        <v>1</v>
      </c>
      <c r="I198" s="3" t="b">
        <f ca="1"/>
        <v>1</v>
      </c>
      <c r="J198" s="3" t="str">
        <v>45875_ORIENTATION</v>
      </c>
      <c r="K198" s="3" t="b">
        <f ca="1"/>
        <v>0</v>
      </c>
      <c r="L198" s="3" t="b">
        <f ca="1"/>
        <v>0</v>
      </c>
      <c r="M198" t="b">
        <f ca="1"/>
        <v>0</v>
      </c>
      <c r="N198" t="b">
        <v>0</v>
      </c>
      <c r="O198" s="2"/>
    </row>
    <row r="199" spans="2:15" x14ac:dyDescent="0.2">
      <c r="B199" s="2">
        <v>45876</v>
      </c>
      <c r="C199" s="2" t="str">
        <f ca="1"/>
        <v>Not in scope</v>
      </c>
      <c r="D199" s="3">
        <v>4</v>
      </c>
      <c r="E199" s="3" t="b">
        <v>1</v>
      </c>
      <c r="F199" s="3" t="b">
        <v>0</v>
      </c>
      <c r="G199" s="3" t="b">
        <v>0</v>
      </c>
      <c r="H199" s="3" t="b">
        <v>1</v>
      </c>
      <c r="I199" s="3" t="b">
        <f ca="1"/>
        <v>0</v>
      </c>
      <c r="J199" s="3" t="str">
        <v>45876_ORIENTATION</v>
      </c>
      <c r="K199" s="3" t="b">
        <f ca="1"/>
        <v>0</v>
      </c>
      <c r="L199" s="3" t="b">
        <f ca="1"/>
        <v>0</v>
      </c>
      <c r="M199" t="b">
        <f ca="1"/>
        <v>0</v>
      </c>
      <c r="N199" t="b">
        <v>0</v>
      </c>
      <c r="O199" s="2"/>
    </row>
    <row r="200" spans="2:15" x14ac:dyDescent="0.2">
      <c r="B200" s="2">
        <v>45877</v>
      </c>
      <c r="C200" s="2" t="str">
        <f ca="1"/>
        <v>Jour semaine vacation été</v>
      </c>
      <c r="D200" s="3">
        <v>5</v>
      </c>
      <c r="E200" s="3" t="b">
        <v>1</v>
      </c>
      <c r="F200" s="3" t="b">
        <v>0</v>
      </c>
      <c r="G200" s="3" t="b">
        <v>0</v>
      </c>
      <c r="H200" s="3" t="b">
        <v>1</v>
      </c>
      <c r="I200" s="3" t="b">
        <f ca="1"/>
        <v>0</v>
      </c>
      <c r="J200" s="3" t="str">
        <v>45877_ORIENTATION</v>
      </c>
      <c r="K200" s="3" t="b">
        <f ca="1"/>
        <v>0</v>
      </c>
      <c r="L200" s="3" t="b">
        <f ca="1"/>
        <v>0</v>
      </c>
      <c r="M200" t="b">
        <f ca="1"/>
        <v>0</v>
      </c>
      <c r="N200" t="b">
        <v>1</v>
      </c>
      <c r="O200" s="2"/>
    </row>
    <row r="201" spans="2:15" x14ac:dyDescent="0.2">
      <c r="B201" s="2">
        <v>45878</v>
      </c>
      <c r="C201" s="2" t="str">
        <f ca="1"/>
        <v>Not in scope</v>
      </c>
      <c r="D201" s="3">
        <v>6</v>
      </c>
      <c r="E201" s="3" t="b">
        <v>0</v>
      </c>
      <c r="F201" s="3" t="b">
        <v>0</v>
      </c>
      <c r="G201" s="3" t="b">
        <v>0</v>
      </c>
      <c r="H201" s="3" t="b">
        <v>1</v>
      </c>
      <c r="I201" s="3" t="b">
        <f ca="1"/>
        <v>0</v>
      </c>
      <c r="J201" s="3" t="str">
        <v>45878_ORIENTATION</v>
      </c>
      <c r="K201" s="3" t="b">
        <f ca="1"/>
        <v>0</v>
      </c>
      <c r="L201" s="3" t="b">
        <f ca="1"/>
        <v>0</v>
      </c>
      <c r="M201" t="b">
        <f ca="1"/>
        <v>0</v>
      </c>
      <c r="N201" t="b">
        <v>0</v>
      </c>
      <c r="O201" s="2"/>
    </row>
    <row r="202" spans="2:15" x14ac:dyDescent="0.2">
      <c r="B202" s="2">
        <v>45879</v>
      </c>
      <c r="C202" s="2" t="str">
        <f ca="1"/>
        <v>Not in scope</v>
      </c>
      <c r="D202" s="3">
        <v>7</v>
      </c>
      <c r="E202" s="3" t="b">
        <v>0</v>
      </c>
      <c r="F202" s="3" t="b">
        <v>0</v>
      </c>
      <c r="G202" s="3" t="b">
        <v>0</v>
      </c>
      <c r="H202" s="3" t="b">
        <v>1</v>
      </c>
      <c r="I202" s="3" t="b">
        <f ca="1"/>
        <v>0</v>
      </c>
      <c r="J202" s="3" t="str">
        <v>45879_ORIENTATION</v>
      </c>
      <c r="K202" s="3" t="b">
        <f ca="1"/>
        <v>0</v>
      </c>
      <c r="L202" s="3" t="b">
        <f ca="1"/>
        <v>0</v>
      </c>
      <c r="M202" t="b">
        <f ca="1"/>
        <v>0</v>
      </c>
      <c r="N202" t="b">
        <v>0</v>
      </c>
      <c r="O202" s="2"/>
    </row>
    <row r="203" spans="2:15" x14ac:dyDescent="0.2">
      <c r="B203" s="2">
        <v>45880</v>
      </c>
      <c r="C203" s="2" t="str">
        <f ca="1"/>
        <v>Not in scope</v>
      </c>
      <c r="D203" s="3">
        <v>1</v>
      </c>
      <c r="E203" s="3" t="b">
        <v>1</v>
      </c>
      <c r="F203" s="3" t="b">
        <v>0</v>
      </c>
      <c r="G203" s="3" t="b">
        <v>0</v>
      </c>
      <c r="H203" s="3" t="b">
        <v>1</v>
      </c>
      <c r="I203" s="3" t="b">
        <f ca="1"/>
        <v>0</v>
      </c>
      <c r="J203" s="3" t="str">
        <v>45880_ORIENTATION</v>
      </c>
      <c r="K203" s="3" t="b">
        <f ca="1"/>
        <v>0</v>
      </c>
      <c r="L203" s="3" t="b">
        <f ca="1"/>
        <v>0</v>
      </c>
      <c r="M203" t="b">
        <f ca="1"/>
        <v>0</v>
      </c>
      <c r="N203" t="b">
        <v>0</v>
      </c>
      <c r="O203" s="2"/>
    </row>
    <row r="204" spans="2:15" x14ac:dyDescent="0.2">
      <c r="B204" s="2">
        <v>45881</v>
      </c>
      <c r="C204" s="2" t="str">
        <f ca="1"/>
        <v>Not in scope</v>
      </c>
      <c r="D204" s="3">
        <v>2</v>
      </c>
      <c r="E204" s="3" t="b">
        <v>1</v>
      </c>
      <c r="F204" s="3" t="b">
        <v>0</v>
      </c>
      <c r="G204" s="3" t="b">
        <v>0</v>
      </c>
      <c r="H204" s="3" t="b">
        <v>1</v>
      </c>
      <c r="I204" s="3" t="b">
        <f ca="1"/>
        <v>0</v>
      </c>
      <c r="J204" s="3" t="str">
        <v>45881_ORIENTATION</v>
      </c>
      <c r="K204" s="3" t="b">
        <f ca="1"/>
        <v>0</v>
      </c>
      <c r="L204" s="3" t="b">
        <f ca="1"/>
        <v>0</v>
      </c>
      <c r="M204" t="b">
        <f ca="1"/>
        <v>0</v>
      </c>
      <c r="N204" t="b">
        <v>0</v>
      </c>
      <c r="O204" s="2"/>
    </row>
    <row r="205" spans="2:15" x14ac:dyDescent="0.2">
      <c r="B205" s="2">
        <v>45882</v>
      </c>
      <c r="C205" s="2" t="str">
        <f ca="1"/>
        <v>Not in scope</v>
      </c>
      <c r="D205" s="3">
        <v>3</v>
      </c>
      <c r="E205" s="3" t="b">
        <v>1</v>
      </c>
      <c r="F205" s="3" t="b">
        <v>0</v>
      </c>
      <c r="G205" s="3" t="b">
        <v>0</v>
      </c>
      <c r="H205" s="3" t="b">
        <v>1</v>
      </c>
      <c r="I205" s="3" t="b">
        <f ca="1"/>
        <v>0</v>
      </c>
      <c r="J205" s="3" t="str">
        <v>45882_ORIENTATION</v>
      </c>
      <c r="K205" s="3" t="b">
        <f ca="1"/>
        <v>0</v>
      </c>
      <c r="L205" s="3" t="b">
        <f ca="1"/>
        <v>0</v>
      </c>
      <c r="M205" t="b">
        <f ca="1"/>
        <v>0</v>
      </c>
      <c r="N205" t="b">
        <v>0</v>
      </c>
      <c r="O205" s="2"/>
    </row>
    <row r="206" spans="2:15" x14ac:dyDescent="0.2">
      <c r="B206" s="2">
        <v>45883</v>
      </c>
      <c r="C206" s="2" t="str">
        <f ca="1"/>
        <v>Not in scope</v>
      </c>
      <c r="D206" s="3">
        <v>4</v>
      </c>
      <c r="E206" s="3" t="b">
        <v>1</v>
      </c>
      <c r="F206" s="3" t="b">
        <v>0</v>
      </c>
      <c r="G206" s="3" t="b">
        <v>0</v>
      </c>
      <c r="H206" s="3" t="b">
        <v>1</v>
      </c>
      <c r="I206" s="3" t="b">
        <f ca="1"/>
        <v>0</v>
      </c>
      <c r="J206" s="3" t="str">
        <v>45883_ORIENTATION</v>
      </c>
      <c r="K206" s="3" t="b">
        <f ca="1"/>
        <v>0</v>
      </c>
      <c r="L206" s="3" t="b">
        <f ca="1"/>
        <v>0</v>
      </c>
      <c r="M206" t="b">
        <f ca="1"/>
        <v>0</v>
      </c>
      <c r="N206" t="b">
        <v>0</v>
      </c>
      <c r="O206" s="2"/>
    </row>
    <row r="207" spans="2:15" x14ac:dyDescent="0.2">
      <c r="B207" s="2">
        <v>45884</v>
      </c>
      <c r="C207" s="2" t="str">
        <f ca="1"/>
        <v>Jour semaine férié</v>
      </c>
      <c r="D207" s="3">
        <v>5</v>
      </c>
      <c r="E207" s="3" t="b">
        <v>1</v>
      </c>
      <c r="F207" s="3" t="b">
        <v>1</v>
      </c>
      <c r="G207" s="3" t="b">
        <v>0</v>
      </c>
      <c r="H207" s="3" t="b">
        <v>1</v>
      </c>
      <c r="I207" s="3" t="b">
        <f ca="1"/>
        <v>0</v>
      </c>
      <c r="J207" s="3" t="str">
        <v>45884_ORIENTATION</v>
      </c>
      <c r="K207" s="3" t="b">
        <f ca="1"/>
        <v>0</v>
      </c>
      <c r="L207" s="3" t="b">
        <f ca="1"/>
        <v>0</v>
      </c>
      <c r="M207" t="b">
        <f ca="1"/>
        <v>0</v>
      </c>
      <c r="N207" t="b">
        <v>1</v>
      </c>
      <c r="O207" s="2"/>
    </row>
    <row r="208" spans="2:15" x14ac:dyDescent="0.2">
      <c r="B208" s="2">
        <v>45885</v>
      </c>
      <c r="C208" s="2" t="str">
        <f ca="1"/>
        <v>Not in scope</v>
      </c>
      <c r="D208" s="3">
        <v>6</v>
      </c>
      <c r="E208" s="3" t="b">
        <v>0</v>
      </c>
      <c r="F208" s="3" t="b">
        <v>0</v>
      </c>
      <c r="G208" s="3" t="b">
        <v>0</v>
      </c>
      <c r="H208" s="3" t="b">
        <v>1</v>
      </c>
      <c r="I208" s="3" t="b">
        <f ca="1"/>
        <v>0</v>
      </c>
      <c r="J208" s="3" t="str">
        <v>45885_ORIENTATION</v>
      </c>
      <c r="K208" s="3" t="b">
        <f ca="1"/>
        <v>0</v>
      </c>
      <c r="L208" s="3" t="b">
        <f ca="1"/>
        <v>0</v>
      </c>
      <c r="M208" t="b">
        <f ca="1"/>
        <v>0</v>
      </c>
      <c r="N208" t="b">
        <v>0</v>
      </c>
      <c r="O208" s="2"/>
    </row>
    <row r="209" spans="2:15" x14ac:dyDescent="0.2">
      <c r="B209" s="2">
        <v>45886</v>
      </c>
      <c r="C209" s="2" t="str">
        <f ca="1"/>
        <v>Not in scope</v>
      </c>
      <c r="D209" s="3">
        <v>7</v>
      </c>
      <c r="E209" s="3" t="b">
        <v>0</v>
      </c>
      <c r="F209" s="3" t="b">
        <v>0</v>
      </c>
      <c r="G209" s="3" t="b">
        <v>0</v>
      </c>
      <c r="H209" s="3" t="b">
        <v>1</v>
      </c>
      <c r="I209" s="3" t="b">
        <f ca="1"/>
        <v>0</v>
      </c>
      <c r="J209" s="3" t="str">
        <v>45886_ORIENTATION</v>
      </c>
      <c r="K209" s="3" t="b">
        <f ca="1"/>
        <v>0</v>
      </c>
      <c r="L209" s="3" t="b">
        <f ca="1"/>
        <v>0</v>
      </c>
      <c r="M209" t="b">
        <f ca="1"/>
        <v>0</v>
      </c>
      <c r="N209" t="b">
        <v>0</v>
      </c>
      <c r="O209" s="2"/>
    </row>
    <row r="210" spans="2:15" x14ac:dyDescent="0.2">
      <c r="B210" s="2">
        <v>45887</v>
      </c>
      <c r="C210" s="2" t="str">
        <f ca="1"/>
        <v>Not in scope</v>
      </c>
      <c r="D210" s="3">
        <v>1</v>
      </c>
      <c r="E210" s="3" t="b">
        <v>1</v>
      </c>
      <c r="F210" s="3" t="b">
        <v>0</v>
      </c>
      <c r="G210" s="3" t="b">
        <v>0</v>
      </c>
      <c r="H210" s="3" t="b">
        <v>1</v>
      </c>
      <c r="I210" s="3" t="b">
        <f ca="1"/>
        <v>0</v>
      </c>
      <c r="J210" s="3" t="str">
        <v>45887_ORIENTATION</v>
      </c>
      <c r="K210" s="3" t="b">
        <f ca="1"/>
        <v>0</v>
      </c>
      <c r="L210" s="3" t="b">
        <f ca="1"/>
        <v>0</v>
      </c>
      <c r="M210" t="b">
        <f ca="1"/>
        <v>0</v>
      </c>
      <c r="N210" t="b">
        <v>0</v>
      </c>
      <c r="O210" s="2"/>
    </row>
    <row r="211" spans="2:15" x14ac:dyDescent="0.2">
      <c r="B211" s="2">
        <v>45888</v>
      </c>
      <c r="C211" s="2" t="str">
        <f ca="1"/>
        <v>Not in scope</v>
      </c>
      <c r="D211" s="3">
        <v>2</v>
      </c>
      <c r="E211" s="3" t="b">
        <v>1</v>
      </c>
      <c r="F211" s="3" t="b">
        <v>0</v>
      </c>
      <c r="G211" s="3" t="b">
        <v>0</v>
      </c>
      <c r="H211" s="3" t="b">
        <v>1</v>
      </c>
      <c r="I211" s="3" t="b">
        <f ca="1"/>
        <v>0</v>
      </c>
      <c r="J211" s="3" t="str">
        <v>45888_ORIENTATION</v>
      </c>
      <c r="K211" s="3" t="b">
        <f ca="1"/>
        <v>0</v>
      </c>
      <c r="L211" s="3" t="b">
        <f ca="1"/>
        <v>0</v>
      </c>
      <c r="M211" t="b">
        <f ca="1"/>
        <v>0</v>
      </c>
      <c r="N211" t="b">
        <v>0</v>
      </c>
      <c r="O211" s="2"/>
    </row>
    <row r="212" spans="2:15" x14ac:dyDescent="0.2">
      <c r="B212" s="2">
        <v>45889</v>
      </c>
      <c r="C212" s="2" t="str">
        <f ca="1"/>
        <v>Not in scope</v>
      </c>
      <c r="D212" s="3">
        <v>3</v>
      </c>
      <c r="E212" s="3" t="b">
        <v>1</v>
      </c>
      <c r="F212" s="3" t="b">
        <v>0</v>
      </c>
      <c r="G212" s="3" t="b">
        <v>0</v>
      </c>
      <c r="H212" s="3" t="b">
        <v>1</v>
      </c>
      <c r="I212" s="3" t="b">
        <f ca="1"/>
        <v>0</v>
      </c>
      <c r="J212" s="3" t="str">
        <v>45889_ORIENTATION</v>
      </c>
      <c r="K212" s="3" t="b">
        <f ca="1"/>
        <v>0</v>
      </c>
      <c r="L212" s="3" t="b">
        <f ca="1"/>
        <v>0</v>
      </c>
      <c r="M212" t="b">
        <f ca="1"/>
        <v>0</v>
      </c>
      <c r="N212" t="b">
        <v>0</v>
      </c>
      <c r="O212" s="2"/>
    </row>
    <row r="213" spans="2:15" x14ac:dyDescent="0.2">
      <c r="B213" s="2">
        <v>45890</v>
      </c>
      <c r="C213" s="2" t="str">
        <f ca="1"/>
        <v>Not in scope</v>
      </c>
      <c r="D213" s="3">
        <v>4</v>
      </c>
      <c r="E213" s="3" t="b">
        <v>1</v>
      </c>
      <c r="F213" s="3" t="b">
        <v>0</v>
      </c>
      <c r="G213" s="3" t="b">
        <v>0</v>
      </c>
      <c r="H213" s="3" t="b">
        <v>1</v>
      </c>
      <c r="I213" s="3" t="b">
        <f ca="1"/>
        <v>0</v>
      </c>
      <c r="J213" s="3" t="str">
        <v>45890_ORIENTATION</v>
      </c>
      <c r="K213" s="3" t="b">
        <f ca="1"/>
        <v>0</v>
      </c>
      <c r="L213" s="3" t="b">
        <f ca="1"/>
        <v>0</v>
      </c>
      <c r="M213" t="b">
        <f ca="1"/>
        <v>0</v>
      </c>
      <c r="N213" t="b">
        <v>0</v>
      </c>
      <c r="O213" s="2"/>
    </row>
    <row r="214" spans="2:15" x14ac:dyDescent="0.2">
      <c r="B214" s="2">
        <v>45891</v>
      </c>
      <c r="C214" s="2" t="str">
        <f ca="1"/>
        <v>Jour semaine vacation été</v>
      </c>
      <c r="D214" s="3">
        <v>5</v>
      </c>
      <c r="E214" s="3" t="b">
        <v>1</v>
      </c>
      <c r="F214" s="3" t="b">
        <v>0</v>
      </c>
      <c r="G214" s="3" t="b">
        <v>0</v>
      </c>
      <c r="H214" s="3" t="b">
        <v>1</v>
      </c>
      <c r="I214" s="3" t="b">
        <f ca="1"/>
        <v>0</v>
      </c>
      <c r="J214" s="3" t="str">
        <v>45891_ORIENTATION</v>
      </c>
      <c r="K214" s="3" t="b">
        <f ca="1"/>
        <v>0</v>
      </c>
      <c r="L214" s="3" t="b">
        <f ca="1"/>
        <v>0</v>
      </c>
      <c r="M214" t="b">
        <f ca="1"/>
        <v>0</v>
      </c>
      <c r="N214" t="b">
        <v>1</v>
      </c>
      <c r="O214" s="2"/>
    </row>
    <row r="215" spans="2:15" x14ac:dyDescent="0.2">
      <c r="B215" s="2">
        <v>45892</v>
      </c>
      <c r="C215" s="2" t="str">
        <f ca="1"/>
        <v>Not in scope</v>
      </c>
      <c r="D215" s="3">
        <v>6</v>
      </c>
      <c r="E215" s="3" t="b">
        <v>0</v>
      </c>
      <c r="F215" s="3" t="b">
        <v>0</v>
      </c>
      <c r="G215" s="3" t="b">
        <v>0</v>
      </c>
      <c r="H215" s="3" t="b">
        <v>1</v>
      </c>
      <c r="I215" s="3" t="b">
        <f ca="1"/>
        <v>0</v>
      </c>
      <c r="J215" s="3" t="str">
        <v>45892_ORIENTATION</v>
      </c>
      <c r="K215" s="3" t="b">
        <f ca="1"/>
        <v>0</v>
      </c>
      <c r="L215" s="3" t="b">
        <f ca="1"/>
        <v>0</v>
      </c>
      <c r="M215" t="b">
        <f ca="1"/>
        <v>0</v>
      </c>
      <c r="N215" t="b">
        <v>0</v>
      </c>
      <c r="O215" s="2"/>
    </row>
    <row r="216" spans="2:15" x14ac:dyDescent="0.2">
      <c r="B216" s="2">
        <v>45893</v>
      </c>
      <c r="C216" s="2" t="str">
        <f ca="1"/>
        <v>Not in scope</v>
      </c>
      <c r="D216" s="3">
        <v>7</v>
      </c>
      <c r="E216" s="3" t="b">
        <v>0</v>
      </c>
      <c r="F216" s="3" t="b">
        <v>0</v>
      </c>
      <c r="G216" s="3" t="b">
        <v>0</v>
      </c>
      <c r="H216" s="3" t="b">
        <v>1</v>
      </c>
      <c r="I216" s="3" t="b">
        <f ca="1"/>
        <v>0</v>
      </c>
      <c r="J216" s="3" t="str">
        <v>45893_ORIENTATION</v>
      </c>
      <c r="K216" s="3" t="b">
        <f ca="1"/>
        <v>0</v>
      </c>
      <c r="L216" s="3" t="b">
        <f ca="1"/>
        <v>0</v>
      </c>
      <c r="M216" t="b">
        <f ca="1"/>
        <v>0</v>
      </c>
      <c r="N216" t="b">
        <v>0</v>
      </c>
      <c r="O216" s="2"/>
    </row>
    <row r="217" spans="2:15" x14ac:dyDescent="0.2">
      <c r="B217" s="2">
        <v>45894</v>
      </c>
      <c r="C217" s="2" t="str">
        <f ca="1"/>
        <v>Not in scope</v>
      </c>
      <c r="D217" s="3">
        <v>1</v>
      </c>
      <c r="E217" s="3" t="b">
        <v>1</v>
      </c>
      <c r="F217" s="3" t="b">
        <v>0</v>
      </c>
      <c r="G217" s="3" t="b">
        <v>0</v>
      </c>
      <c r="H217" s="3" t="b">
        <v>1</v>
      </c>
      <c r="I217" s="3" t="b">
        <f ca="1"/>
        <v>0</v>
      </c>
      <c r="J217" s="3" t="str">
        <v>45894_ORIENTATION</v>
      </c>
      <c r="K217" s="3" t="b">
        <f ca="1"/>
        <v>0</v>
      </c>
      <c r="L217" s="3" t="b">
        <f ca="1"/>
        <v>0</v>
      </c>
      <c r="M217" t="b">
        <f ca="1"/>
        <v>0</v>
      </c>
      <c r="N217" t="b">
        <v>0</v>
      </c>
      <c r="O217" s="2"/>
    </row>
    <row r="218" spans="2:15" x14ac:dyDescent="0.2">
      <c r="B218" s="2">
        <v>45895</v>
      </c>
      <c r="C218" s="2" t="str">
        <f ca="1"/>
        <v>Not in scope</v>
      </c>
      <c r="D218" s="3">
        <v>2</v>
      </c>
      <c r="E218" s="3" t="b">
        <v>1</v>
      </c>
      <c r="F218" s="3" t="b">
        <v>0</v>
      </c>
      <c r="G218" s="3" t="b">
        <v>0</v>
      </c>
      <c r="H218" s="3" t="b">
        <v>1</v>
      </c>
      <c r="I218" s="3" t="b">
        <f ca="1"/>
        <v>1</v>
      </c>
      <c r="J218" s="3" t="str">
        <v>45895_ORIENTATION</v>
      </c>
      <c r="K218" s="3" t="b">
        <f ca="1"/>
        <v>0</v>
      </c>
      <c r="L218" s="3" t="b">
        <f ca="1"/>
        <v>0</v>
      </c>
      <c r="M218" t="b">
        <f ca="1"/>
        <v>0</v>
      </c>
      <c r="N218" t="b">
        <v>0</v>
      </c>
      <c r="O218" s="2"/>
    </row>
    <row r="219" spans="2:15" x14ac:dyDescent="0.2">
      <c r="B219" s="2">
        <v>45896</v>
      </c>
      <c r="C219" s="2" t="str">
        <f ca="1"/>
        <v>Not in scope</v>
      </c>
      <c r="D219" s="3">
        <v>3</v>
      </c>
      <c r="E219" s="3" t="b">
        <v>1</v>
      </c>
      <c r="F219" s="3" t="b">
        <v>0</v>
      </c>
      <c r="G219" s="3" t="b">
        <v>0</v>
      </c>
      <c r="H219" s="3" t="b">
        <v>1</v>
      </c>
      <c r="I219" s="3" t="b">
        <f ca="1"/>
        <v>0</v>
      </c>
      <c r="J219" s="3" t="str">
        <v>45896_ORIENTATION</v>
      </c>
      <c r="K219" s="3" t="b">
        <f ca="1"/>
        <v>0</v>
      </c>
      <c r="L219" s="3" t="b">
        <f ca="1"/>
        <v>0</v>
      </c>
      <c r="M219" t="b">
        <f ca="1"/>
        <v>0</v>
      </c>
      <c r="N219" t="b">
        <v>0</v>
      </c>
      <c r="O219" s="2"/>
    </row>
    <row r="220" spans="2:15" x14ac:dyDescent="0.2">
      <c r="B220" s="2">
        <v>45897</v>
      </c>
      <c r="C220" s="2" t="str">
        <f ca="1"/>
        <v>Not in scope</v>
      </c>
      <c r="D220" s="3">
        <v>4</v>
      </c>
      <c r="E220" s="3" t="b">
        <v>1</v>
      </c>
      <c r="F220" s="3" t="b">
        <v>0</v>
      </c>
      <c r="G220" s="3" t="b">
        <v>0</v>
      </c>
      <c r="H220" s="3" t="b">
        <v>1</v>
      </c>
      <c r="I220" s="3" t="b">
        <f ca="1"/>
        <v>0</v>
      </c>
      <c r="J220" s="3" t="str">
        <v>45897_ORIENTATION</v>
      </c>
      <c r="K220" s="3" t="b">
        <f ca="1"/>
        <v>0</v>
      </c>
      <c r="L220" s="3" t="b">
        <f ca="1"/>
        <v>0</v>
      </c>
      <c r="M220" t="b">
        <f ca="1"/>
        <v>0</v>
      </c>
      <c r="N220" t="b">
        <v>0</v>
      </c>
      <c r="O220" s="2"/>
    </row>
    <row r="221" spans="2:15" x14ac:dyDescent="0.2">
      <c r="B221" s="2">
        <v>45898</v>
      </c>
      <c r="C221" s="2" t="str">
        <f ca="1"/>
        <v>Jour semaine vacation été</v>
      </c>
      <c r="D221" s="3">
        <v>5</v>
      </c>
      <c r="E221" s="3" t="b">
        <v>1</v>
      </c>
      <c r="F221" s="3" t="b">
        <v>0</v>
      </c>
      <c r="G221" s="3" t="b">
        <v>0</v>
      </c>
      <c r="H221" s="3" t="b">
        <v>1</v>
      </c>
      <c r="I221" s="3" t="b">
        <f ca="1"/>
        <v>0</v>
      </c>
      <c r="J221" s="3" t="str">
        <v>45898_ORIENTATION</v>
      </c>
      <c r="K221" s="3" t="b">
        <f ca="1"/>
        <v>0</v>
      </c>
      <c r="L221" s="3" t="b">
        <f ca="1"/>
        <v>0</v>
      </c>
      <c r="M221" t="b">
        <f ca="1"/>
        <v>0</v>
      </c>
      <c r="N221" t="b">
        <v>1</v>
      </c>
      <c r="O221" s="2"/>
    </row>
    <row r="222" spans="2:15" x14ac:dyDescent="0.2">
      <c r="B222" s="2">
        <v>45899</v>
      </c>
      <c r="C222" s="2" t="str">
        <f ca="1"/>
        <v>Not in scope</v>
      </c>
      <c r="D222" s="3">
        <v>6</v>
      </c>
      <c r="E222" s="3" t="b">
        <v>0</v>
      </c>
      <c r="F222" s="3" t="b">
        <v>0</v>
      </c>
      <c r="G222" s="3" t="b">
        <v>0</v>
      </c>
      <c r="H222" s="3" t="b">
        <v>1</v>
      </c>
      <c r="I222" s="3" t="b">
        <f ca="1"/>
        <v>0</v>
      </c>
      <c r="J222" s="3" t="str">
        <v>45899_ORIENTATION</v>
      </c>
      <c r="K222" s="3" t="b">
        <f ca="1"/>
        <v>0</v>
      </c>
      <c r="L222" s="3" t="b">
        <f ca="1"/>
        <v>0</v>
      </c>
      <c r="M222" t="b">
        <f ca="1"/>
        <v>0</v>
      </c>
      <c r="N222" t="b">
        <v>0</v>
      </c>
      <c r="O222" s="2"/>
    </row>
    <row r="223" spans="2:15" x14ac:dyDescent="0.2">
      <c r="B223" s="2">
        <v>45900</v>
      </c>
      <c r="C223" s="2" t="str">
        <f ca="1"/>
        <v>Not in scope</v>
      </c>
      <c r="D223" s="3">
        <v>7</v>
      </c>
      <c r="E223" s="3" t="b">
        <v>0</v>
      </c>
      <c r="F223" s="3" t="b">
        <v>0</v>
      </c>
      <c r="G223" s="3" t="b">
        <v>0</v>
      </c>
      <c r="H223" s="3" t="b">
        <v>1</v>
      </c>
      <c r="I223" s="3" t="b">
        <f ca="1"/>
        <v>0</v>
      </c>
      <c r="J223" s="3" t="str">
        <v>45900_ORIENTATION</v>
      </c>
      <c r="K223" s="3" t="b">
        <f ca="1"/>
        <v>0</v>
      </c>
      <c r="L223" s="3" t="b">
        <f ca="1"/>
        <v>0</v>
      </c>
      <c r="M223" t="b">
        <f ca="1"/>
        <v>0</v>
      </c>
      <c r="N223" t="b">
        <v>0</v>
      </c>
      <c r="O223" s="2"/>
    </row>
    <row r="224" spans="2:15" x14ac:dyDescent="0.2">
      <c r="B224" s="2">
        <v>45901</v>
      </c>
      <c r="C224" s="2" t="str">
        <f ca="1"/>
        <v>Not in scope</v>
      </c>
      <c r="D224" s="3">
        <v>1</v>
      </c>
      <c r="E224" s="3" t="b">
        <v>1</v>
      </c>
      <c r="F224" s="3" t="b">
        <v>0</v>
      </c>
      <c r="G224" s="3" t="b">
        <v>0</v>
      </c>
      <c r="H224" s="3" t="b">
        <v>1</v>
      </c>
      <c r="I224" s="3" t="b">
        <f ca="1"/>
        <v>0</v>
      </c>
      <c r="J224" s="3" t="str">
        <v>45901_ORIENTATION</v>
      </c>
      <c r="K224" s="3" t="b">
        <f ca="1"/>
        <v>0</v>
      </c>
      <c r="L224" s="3" t="b">
        <f ca="1"/>
        <v>0</v>
      </c>
      <c r="M224" t="b">
        <f ca="1"/>
        <v>0</v>
      </c>
      <c r="N224" t="b">
        <v>0</v>
      </c>
      <c r="O224" s="2"/>
    </row>
    <row r="225" spans="2:15" x14ac:dyDescent="0.2">
      <c r="B225" s="2">
        <v>45902</v>
      </c>
      <c r="C225" s="2" t="str">
        <f ca="1"/>
        <v>Not in scope</v>
      </c>
      <c r="D225" s="3">
        <v>2</v>
      </c>
      <c r="E225" s="3" t="b">
        <v>1</v>
      </c>
      <c r="F225" s="3" t="b">
        <v>0</v>
      </c>
      <c r="G225" s="3" t="b">
        <v>0</v>
      </c>
      <c r="H225" s="3" t="b">
        <v>1</v>
      </c>
      <c r="I225" s="3" t="b">
        <f ca="1"/>
        <v>1</v>
      </c>
      <c r="J225" s="3" t="str">
        <v>45902_ORIENTATION</v>
      </c>
      <c r="K225" s="3" t="b">
        <f ca="1"/>
        <v>0</v>
      </c>
      <c r="L225" s="3" t="b">
        <f ca="1"/>
        <v>0</v>
      </c>
      <c r="M225" t="b">
        <f ca="1"/>
        <v>0</v>
      </c>
      <c r="N225" t="b">
        <v>0</v>
      </c>
      <c r="O225" s="2"/>
    </row>
    <row r="226" spans="2:15" x14ac:dyDescent="0.2">
      <c r="B226" s="2">
        <v>45903</v>
      </c>
      <c r="C226" s="2" t="str">
        <f ca="1"/>
        <v>Not in scope</v>
      </c>
      <c r="D226" s="3">
        <v>3</v>
      </c>
      <c r="E226" s="3" t="b">
        <v>1</v>
      </c>
      <c r="F226" s="3" t="b">
        <v>0</v>
      </c>
      <c r="G226" s="3" t="b">
        <v>0</v>
      </c>
      <c r="H226" s="3" t="b">
        <v>1</v>
      </c>
      <c r="I226" s="3" t="b">
        <f ca="1"/>
        <v>1</v>
      </c>
      <c r="J226" s="3" t="str">
        <v>45903_ORIENTATION</v>
      </c>
      <c r="K226" s="3" t="b">
        <f ca="1"/>
        <v>0</v>
      </c>
      <c r="L226" s="3" t="b">
        <f ca="1"/>
        <v>0</v>
      </c>
      <c r="M226" t="b">
        <f ca="1"/>
        <v>0</v>
      </c>
      <c r="N226" t="b">
        <v>0</v>
      </c>
      <c r="O226" s="2"/>
    </row>
    <row r="227" spans="2:15" x14ac:dyDescent="0.2">
      <c r="B227" s="2">
        <v>45904</v>
      </c>
      <c r="C227" s="2" t="str">
        <f ca="1"/>
        <v>Not in scope</v>
      </c>
      <c r="D227" s="3">
        <v>4</v>
      </c>
      <c r="E227" s="3" t="b">
        <v>1</v>
      </c>
      <c r="F227" s="3" t="b">
        <v>0</v>
      </c>
      <c r="G227" s="3" t="b">
        <v>0</v>
      </c>
      <c r="H227" s="3" t="b">
        <v>1</v>
      </c>
      <c r="I227" s="3" t="b">
        <f ca="1"/>
        <v>0</v>
      </c>
      <c r="J227" s="3" t="str">
        <v>45904_ORIENTATION</v>
      </c>
      <c r="K227" s="3" t="b">
        <f ca="1"/>
        <v>0</v>
      </c>
      <c r="L227" s="3" t="b">
        <f ca="1"/>
        <v>0</v>
      </c>
      <c r="M227" t="b">
        <f ca="1"/>
        <v>0</v>
      </c>
      <c r="N227" t="b">
        <v>0</v>
      </c>
      <c r="O227" s="2"/>
    </row>
    <row r="228" spans="2:15" x14ac:dyDescent="0.2">
      <c r="B228" s="2">
        <v>45905</v>
      </c>
      <c r="C228" s="2" t="str">
        <f ca="1"/>
        <v>Jour semaine vacation été</v>
      </c>
      <c r="D228" s="3">
        <v>5</v>
      </c>
      <c r="E228" s="3" t="b">
        <v>1</v>
      </c>
      <c r="F228" s="3" t="b">
        <v>0</v>
      </c>
      <c r="G228" s="3" t="b">
        <v>0</v>
      </c>
      <c r="H228" s="3" t="b">
        <v>1</v>
      </c>
      <c r="I228" s="3" t="b">
        <f ca="1"/>
        <v>0</v>
      </c>
      <c r="J228" s="3" t="str">
        <v>45905_ORIENTATION</v>
      </c>
      <c r="K228" s="3" t="b">
        <f ca="1"/>
        <v>0</v>
      </c>
      <c r="L228" s="3" t="b">
        <f ca="1"/>
        <v>0</v>
      </c>
      <c r="M228" t="b">
        <f ca="1"/>
        <v>0</v>
      </c>
      <c r="N228" t="b">
        <v>1</v>
      </c>
      <c r="O228" s="2"/>
    </row>
    <row r="229" spans="2:15" x14ac:dyDescent="0.2">
      <c r="B229" s="2">
        <v>45906</v>
      </c>
      <c r="C229" s="2" t="str">
        <f ca="1"/>
        <v>Not in scope</v>
      </c>
      <c r="D229" s="3">
        <v>6</v>
      </c>
      <c r="E229" s="3" t="b">
        <v>0</v>
      </c>
      <c r="F229" s="3" t="b">
        <v>0</v>
      </c>
      <c r="G229" s="3" t="b">
        <v>0</v>
      </c>
      <c r="H229" s="3" t="b">
        <v>0</v>
      </c>
      <c r="I229" s="3" t="b">
        <f ca="1"/>
        <v>0</v>
      </c>
      <c r="J229" s="3" t="str">
        <v>45906_ORIENTATION</v>
      </c>
      <c r="K229" s="3" t="b">
        <f ca="1"/>
        <v>0</v>
      </c>
      <c r="L229" s="3" t="b">
        <f ca="1"/>
        <v>0</v>
      </c>
      <c r="M229" t="b">
        <f ca="1"/>
        <v>0</v>
      </c>
      <c r="N229" t="b">
        <v>0</v>
      </c>
      <c r="O229" s="2"/>
    </row>
    <row r="230" spans="2:15" x14ac:dyDescent="0.2">
      <c r="B230" s="2">
        <v>45907</v>
      </c>
      <c r="C230" s="2" t="str">
        <f ca="1"/>
        <v>Not in scope</v>
      </c>
      <c r="D230" s="3">
        <v>7</v>
      </c>
      <c r="E230" s="3" t="b">
        <v>0</v>
      </c>
      <c r="F230" s="3" t="b">
        <v>0</v>
      </c>
      <c r="G230" s="3" t="b">
        <v>0</v>
      </c>
      <c r="H230" s="3" t="b">
        <v>0</v>
      </c>
      <c r="I230" s="3" t="b">
        <f ca="1"/>
        <v>0</v>
      </c>
      <c r="J230" s="3" t="str">
        <v>45907_ORIENTATION</v>
      </c>
      <c r="K230" s="3" t="b">
        <f ca="1"/>
        <v>0</v>
      </c>
      <c r="L230" s="3" t="b">
        <f ca="1"/>
        <v>0</v>
      </c>
      <c r="M230" t="b">
        <f ca="1"/>
        <v>0</v>
      </c>
      <c r="N230" t="b">
        <v>0</v>
      </c>
      <c r="O230" s="2"/>
    </row>
    <row r="231" spans="2:15" x14ac:dyDescent="0.2">
      <c r="B231" s="2">
        <v>45908</v>
      </c>
      <c r="C231" s="2" t="str">
        <f ca="1"/>
        <v>Not in scope</v>
      </c>
      <c r="D231" s="3">
        <v>1</v>
      </c>
      <c r="E231" s="3" t="b">
        <v>1</v>
      </c>
      <c r="F231" s="3" t="b">
        <v>0</v>
      </c>
      <c r="G231" s="3" t="b">
        <v>0</v>
      </c>
      <c r="H231" s="3" t="b">
        <v>0</v>
      </c>
      <c r="I231" s="3" t="b">
        <f ca="1"/>
        <v>0</v>
      </c>
      <c r="J231" s="3" t="str">
        <v>45908_ORIENTATION</v>
      </c>
      <c r="K231" s="3" t="b">
        <f ca="1"/>
        <v>0</v>
      </c>
      <c r="L231" s="3" t="b">
        <f ca="1"/>
        <v>0</v>
      </c>
      <c r="M231" t="b">
        <f ca="1"/>
        <v>0</v>
      </c>
      <c r="N231" t="b">
        <v>0</v>
      </c>
      <c r="O231" s="2"/>
    </row>
    <row r="232" spans="2:15" x14ac:dyDescent="0.2">
      <c r="B232" s="2">
        <v>45909</v>
      </c>
      <c r="C232" s="2" t="str">
        <f ca="1"/>
        <v>Not in scope</v>
      </c>
      <c r="D232" s="3">
        <v>2</v>
      </c>
      <c r="E232" s="3" t="b">
        <v>1</v>
      </c>
      <c r="F232" s="3" t="b">
        <v>0</v>
      </c>
      <c r="G232" s="3" t="b">
        <v>0</v>
      </c>
      <c r="H232" s="3" t="b">
        <v>0</v>
      </c>
      <c r="I232" s="3" t="b">
        <f ca="1"/>
        <v>0</v>
      </c>
      <c r="J232" s="3" t="str">
        <v>45909_ORIENTATION</v>
      </c>
      <c r="K232" s="3" t="b">
        <f ca="1"/>
        <v>0</v>
      </c>
      <c r="L232" s="3" t="b">
        <f ca="1"/>
        <v>0</v>
      </c>
      <c r="M232" t="b">
        <f ca="1"/>
        <v>0</v>
      </c>
      <c r="N232" t="b">
        <v>0</v>
      </c>
      <c r="O232" s="2"/>
    </row>
    <row r="233" spans="2:15" x14ac:dyDescent="0.2">
      <c r="B233" s="2">
        <v>45910</v>
      </c>
      <c r="C233" s="2" t="str">
        <f ca="1"/>
        <v>Not in scope</v>
      </c>
      <c r="D233" s="3">
        <v>3</v>
      </c>
      <c r="E233" s="3" t="b">
        <v>1</v>
      </c>
      <c r="F233" s="3" t="b">
        <v>0</v>
      </c>
      <c r="G233" s="3" t="b">
        <v>0</v>
      </c>
      <c r="H233" s="3" t="b">
        <v>0</v>
      </c>
      <c r="I233" s="3" t="b">
        <f ca="1"/>
        <v>0</v>
      </c>
      <c r="J233" s="3" t="str">
        <v>45910_ORIENTATION</v>
      </c>
      <c r="K233" s="3" t="b">
        <f ca="1"/>
        <v>0</v>
      </c>
      <c r="L233" s="3" t="b">
        <f ca="1"/>
        <v>0</v>
      </c>
      <c r="M233" t="b">
        <f ca="1"/>
        <v>0</v>
      </c>
      <c r="N233" t="b">
        <v>0</v>
      </c>
      <c r="O233" s="2"/>
    </row>
    <row r="234" spans="2:15" x14ac:dyDescent="0.2">
      <c r="B234" s="2">
        <v>45911</v>
      </c>
      <c r="C234" s="2" t="str">
        <f ca="1"/>
        <v>Not in scope</v>
      </c>
      <c r="D234" s="3">
        <v>4</v>
      </c>
      <c r="E234" s="3" t="b">
        <v>1</v>
      </c>
      <c r="F234" s="3" t="b">
        <v>0</v>
      </c>
      <c r="G234" s="3" t="b">
        <v>0</v>
      </c>
      <c r="H234" s="3" t="b">
        <v>0</v>
      </c>
      <c r="I234" s="3" t="b">
        <f ca="1"/>
        <v>0</v>
      </c>
      <c r="J234" s="3" t="str">
        <v>45911_ORIENTATION</v>
      </c>
      <c r="K234" s="3" t="b">
        <f ca="1"/>
        <v>0</v>
      </c>
      <c r="L234" s="3" t="b">
        <f ca="1"/>
        <v>0</v>
      </c>
      <c r="M234" t="b">
        <f ca="1"/>
        <v>0</v>
      </c>
      <c r="N234" t="b">
        <v>0</v>
      </c>
      <c r="O234" s="2"/>
    </row>
    <row r="235" spans="2:15" x14ac:dyDescent="0.2">
      <c r="B235" s="2">
        <v>45912</v>
      </c>
      <c r="C235" s="2" t="str">
        <f ca="1"/>
        <v>Jour semaine</v>
      </c>
      <c r="D235" s="3">
        <v>5</v>
      </c>
      <c r="E235" s="3" t="b">
        <v>1</v>
      </c>
      <c r="F235" s="3" t="b">
        <v>0</v>
      </c>
      <c r="G235" s="3" t="b">
        <v>0</v>
      </c>
      <c r="H235" s="3" t="b">
        <v>0</v>
      </c>
      <c r="I235" s="3" t="b">
        <f ca="1"/>
        <v>0</v>
      </c>
      <c r="J235" s="3" t="str">
        <v>45912_ORIENTATION</v>
      </c>
      <c r="K235" s="3" t="b">
        <f ca="1"/>
        <v>0</v>
      </c>
      <c r="L235" s="3" t="b">
        <f ca="1"/>
        <v>0</v>
      </c>
      <c r="M235" t="b">
        <f ca="1"/>
        <v>0</v>
      </c>
      <c r="N235" t="b">
        <v>1</v>
      </c>
      <c r="O235" s="2"/>
    </row>
    <row r="236" spans="2:15" x14ac:dyDescent="0.2">
      <c r="B236" s="2">
        <v>45913</v>
      </c>
      <c r="C236" s="2" t="str">
        <f ca="1"/>
        <v>Not in scope</v>
      </c>
      <c r="D236" s="3">
        <v>6</v>
      </c>
      <c r="E236" s="3" t="b">
        <v>0</v>
      </c>
      <c r="F236" s="3" t="b">
        <v>0</v>
      </c>
      <c r="G236" s="3" t="b">
        <v>0</v>
      </c>
      <c r="H236" s="3" t="b">
        <v>0</v>
      </c>
      <c r="I236" s="3" t="b">
        <f ca="1"/>
        <v>0</v>
      </c>
      <c r="J236" s="3" t="str">
        <v>45913_ORIENTATION</v>
      </c>
      <c r="K236" s="3" t="b">
        <f ca="1"/>
        <v>0</v>
      </c>
      <c r="L236" s="3" t="b">
        <f ca="1"/>
        <v>0</v>
      </c>
      <c r="M236" t="b">
        <f ca="1"/>
        <v>0</v>
      </c>
      <c r="N236" t="b">
        <v>0</v>
      </c>
      <c r="O236" s="2"/>
    </row>
    <row r="237" spans="2:15" x14ac:dyDescent="0.2">
      <c r="B237" s="2">
        <v>45914</v>
      </c>
      <c r="C237" s="2" t="str">
        <f ca="1"/>
        <v>Not in scope</v>
      </c>
      <c r="D237" s="3">
        <v>7</v>
      </c>
      <c r="E237" s="3" t="b">
        <v>0</v>
      </c>
      <c r="F237" s="3" t="b">
        <v>0</v>
      </c>
      <c r="G237" s="3" t="b">
        <v>0</v>
      </c>
      <c r="H237" s="3" t="b">
        <v>0</v>
      </c>
      <c r="I237" s="3" t="b">
        <f ca="1"/>
        <v>0</v>
      </c>
      <c r="J237" s="3" t="str">
        <v>45914_ORIENTATION</v>
      </c>
      <c r="K237" s="3" t="b">
        <f ca="1"/>
        <v>0</v>
      </c>
      <c r="L237" s="3" t="b">
        <f ca="1"/>
        <v>0</v>
      </c>
      <c r="M237" t="b">
        <f ca="1"/>
        <v>0</v>
      </c>
      <c r="N237" t="b">
        <v>0</v>
      </c>
      <c r="O237" s="2"/>
    </row>
    <row r="238" spans="2:15" x14ac:dyDescent="0.2">
      <c r="B238" s="2">
        <v>45915</v>
      </c>
      <c r="C238" s="2" t="str">
        <f ca="1"/>
        <v>Not in scope</v>
      </c>
      <c r="D238" s="3">
        <v>1</v>
      </c>
      <c r="E238" s="3" t="b">
        <v>1</v>
      </c>
      <c r="F238" s="3" t="b">
        <v>0</v>
      </c>
      <c r="G238" s="3" t="b">
        <v>0</v>
      </c>
      <c r="H238" s="3" t="b">
        <v>0</v>
      </c>
      <c r="I238" s="3" t="b">
        <f ca="1"/>
        <v>0</v>
      </c>
      <c r="J238" s="3" t="str">
        <v>45915_ORIENTATION</v>
      </c>
      <c r="K238" s="3" t="b">
        <f ca="1"/>
        <v>0</v>
      </c>
      <c r="L238" s="3" t="b">
        <f ca="1"/>
        <v>0</v>
      </c>
      <c r="M238" t="b">
        <f ca="1"/>
        <v>0</v>
      </c>
      <c r="N238" t="b">
        <v>0</v>
      </c>
      <c r="O238" s="2"/>
    </row>
    <row r="239" spans="2:15" x14ac:dyDescent="0.2">
      <c r="B239" s="2">
        <v>45916</v>
      </c>
      <c r="C239" s="2" t="str">
        <f ca="1"/>
        <v>Not in scope</v>
      </c>
      <c r="D239" s="3">
        <v>2</v>
      </c>
      <c r="E239" s="3" t="b">
        <v>1</v>
      </c>
      <c r="F239" s="3" t="b">
        <v>0</v>
      </c>
      <c r="G239" s="3" t="b">
        <v>0</v>
      </c>
      <c r="H239" s="3" t="b">
        <v>0</v>
      </c>
      <c r="I239" s="3" t="b">
        <f ca="1"/>
        <v>0</v>
      </c>
      <c r="J239" s="3" t="str">
        <v>45916_ORIENTATION</v>
      </c>
      <c r="K239" s="3" t="b">
        <f ca="1"/>
        <v>0</v>
      </c>
      <c r="L239" s="3" t="b">
        <f ca="1"/>
        <v>0</v>
      </c>
      <c r="M239" t="b">
        <f ca="1"/>
        <v>0</v>
      </c>
      <c r="N239" t="b">
        <v>0</v>
      </c>
      <c r="O239" s="2"/>
    </row>
    <row r="240" spans="2:15" x14ac:dyDescent="0.2">
      <c r="B240" s="2">
        <v>45917</v>
      </c>
      <c r="C240" s="2" t="str">
        <f ca="1"/>
        <v>Not in scope</v>
      </c>
      <c r="D240" s="3">
        <v>3</v>
      </c>
      <c r="E240" s="3" t="b">
        <v>1</v>
      </c>
      <c r="F240" s="3" t="b">
        <v>0</v>
      </c>
      <c r="G240" s="3" t="b">
        <v>0</v>
      </c>
      <c r="H240" s="3" t="b">
        <v>0</v>
      </c>
      <c r="I240" s="3" t="b">
        <f ca="1"/>
        <v>0</v>
      </c>
      <c r="J240" s="3" t="str">
        <v>45917_ORIENTATION</v>
      </c>
      <c r="K240" s="3" t="b">
        <f ca="1"/>
        <v>0</v>
      </c>
      <c r="L240" s="3" t="b">
        <f ca="1"/>
        <v>0</v>
      </c>
      <c r="M240" t="b">
        <f ca="1"/>
        <v>0</v>
      </c>
      <c r="N240" t="b">
        <v>0</v>
      </c>
      <c r="O240" s="2"/>
    </row>
    <row r="241" spans="2:15" x14ac:dyDescent="0.2">
      <c r="B241" s="2">
        <v>45918</v>
      </c>
      <c r="C241" s="2" t="str">
        <f ca="1"/>
        <v>Not in scope</v>
      </c>
      <c r="D241" s="3">
        <v>4</v>
      </c>
      <c r="E241" s="3" t="b">
        <v>1</v>
      </c>
      <c r="F241" s="3" t="b">
        <v>0</v>
      </c>
      <c r="G241" s="3" t="b">
        <v>0</v>
      </c>
      <c r="H241" s="3" t="b">
        <v>0</v>
      </c>
      <c r="I241" s="3" t="b">
        <f ca="1"/>
        <v>0</v>
      </c>
      <c r="J241" s="3" t="str">
        <v>45918_ORIENTATION</v>
      </c>
      <c r="K241" s="3" t="b">
        <f ca="1"/>
        <v>0</v>
      </c>
      <c r="L241" s="3" t="b">
        <f ca="1"/>
        <v>0</v>
      </c>
      <c r="M241" t="b">
        <f ca="1"/>
        <v>0</v>
      </c>
      <c r="N241" t="b">
        <v>0</v>
      </c>
      <c r="O241" s="2"/>
    </row>
    <row r="242" spans="2:15" x14ac:dyDescent="0.2">
      <c r="B242" s="2">
        <v>45919</v>
      </c>
      <c r="C242" s="2" t="str">
        <f ca="1"/>
        <v>Jour semaine</v>
      </c>
      <c r="D242" s="3">
        <v>5</v>
      </c>
      <c r="E242" s="3" t="b">
        <v>1</v>
      </c>
      <c r="F242" s="3" t="b">
        <v>0</v>
      </c>
      <c r="G242" s="3" t="b">
        <v>0</v>
      </c>
      <c r="H242" s="3" t="b">
        <v>0</v>
      </c>
      <c r="I242" s="3" t="b">
        <f ca="1"/>
        <v>0</v>
      </c>
      <c r="J242" s="3" t="str">
        <v>45919_ORIENTATION</v>
      </c>
      <c r="K242" s="3" t="b">
        <f ca="1"/>
        <v>0</v>
      </c>
      <c r="L242" s="3" t="b">
        <f ca="1"/>
        <v>0</v>
      </c>
      <c r="M242" t="b">
        <f ca="1"/>
        <v>0</v>
      </c>
      <c r="N242" t="b">
        <v>1</v>
      </c>
      <c r="O242" s="2"/>
    </row>
    <row r="243" spans="2:15" x14ac:dyDescent="0.2">
      <c r="B243" s="2">
        <v>45920</v>
      </c>
      <c r="C243" s="2" t="str">
        <f ca="1"/>
        <v>Not in scope</v>
      </c>
      <c r="D243" s="3">
        <v>6</v>
      </c>
      <c r="E243" s="3" t="b">
        <v>0</v>
      </c>
      <c r="F243" s="3" t="b">
        <v>0</v>
      </c>
      <c r="G243" s="3" t="b">
        <v>0</v>
      </c>
      <c r="H243" s="3" t="b">
        <v>0</v>
      </c>
      <c r="I243" s="3" t="b">
        <f ca="1"/>
        <v>0</v>
      </c>
      <c r="J243" s="3" t="str">
        <v>45920_ORIENTATION</v>
      </c>
      <c r="K243" s="3" t="b">
        <f ca="1"/>
        <v>0</v>
      </c>
      <c r="L243" s="3" t="b">
        <f ca="1"/>
        <v>0</v>
      </c>
      <c r="M243" t="b">
        <f ca="1"/>
        <v>0</v>
      </c>
      <c r="N243" t="b">
        <v>0</v>
      </c>
      <c r="O243" s="2"/>
    </row>
    <row r="244" spans="2:15" x14ac:dyDescent="0.2">
      <c r="B244" s="2">
        <v>45921</v>
      </c>
      <c r="C244" s="2" t="str">
        <f ca="1"/>
        <v>Not in scope</v>
      </c>
      <c r="D244" s="3">
        <v>7</v>
      </c>
      <c r="E244" s="3" t="b">
        <v>0</v>
      </c>
      <c r="F244" s="3" t="b">
        <v>0</v>
      </c>
      <c r="G244" s="3" t="b">
        <v>0</v>
      </c>
      <c r="H244" s="3" t="b">
        <v>0</v>
      </c>
      <c r="I244" s="3" t="b">
        <f ca="1"/>
        <v>0</v>
      </c>
      <c r="J244" s="3" t="str">
        <v>45921_ORIENTATION</v>
      </c>
      <c r="K244" s="3" t="b">
        <f ca="1"/>
        <v>0</v>
      </c>
      <c r="L244" s="3" t="b">
        <f ca="1"/>
        <v>0</v>
      </c>
      <c r="M244" t="b">
        <f ca="1"/>
        <v>0</v>
      </c>
      <c r="N244" t="b">
        <v>0</v>
      </c>
      <c r="O244" s="2"/>
    </row>
    <row r="245" spans="2:15" x14ac:dyDescent="0.2">
      <c r="B245" s="2">
        <v>45922</v>
      </c>
      <c r="C245" s="2" t="str">
        <f ca="1"/>
        <v>Not in scope</v>
      </c>
      <c r="D245" s="3">
        <v>1</v>
      </c>
      <c r="E245" s="3" t="b">
        <v>1</v>
      </c>
      <c r="F245" s="3" t="b">
        <v>0</v>
      </c>
      <c r="G245" s="3" t="b">
        <v>0</v>
      </c>
      <c r="H245" s="3" t="b">
        <v>0</v>
      </c>
      <c r="I245" s="3" t="b">
        <f ca="1"/>
        <v>0</v>
      </c>
      <c r="J245" s="3" t="str">
        <v>45922_ORIENTATION</v>
      </c>
      <c r="K245" s="3" t="b">
        <f ca="1"/>
        <v>0</v>
      </c>
      <c r="L245" s="3" t="b">
        <f ca="1"/>
        <v>0</v>
      </c>
      <c r="M245" t="b">
        <f ca="1"/>
        <v>0</v>
      </c>
      <c r="N245" t="b">
        <v>0</v>
      </c>
      <c r="O245" s="2"/>
    </row>
    <row r="246" spans="2:15" x14ac:dyDescent="0.2">
      <c r="B246" s="2">
        <v>45923</v>
      </c>
      <c r="C246" s="2" t="str">
        <f ca="1"/>
        <v>Not in scope</v>
      </c>
      <c r="D246" s="3">
        <v>2</v>
      </c>
      <c r="E246" s="3" t="b">
        <v>1</v>
      </c>
      <c r="F246" s="3" t="b">
        <v>0</v>
      </c>
      <c r="G246" s="3" t="b">
        <v>0</v>
      </c>
      <c r="H246" s="3" t="b">
        <v>0</v>
      </c>
      <c r="I246" s="3" t="b">
        <f ca="1"/>
        <v>0</v>
      </c>
      <c r="J246" s="3" t="str">
        <v>45923_ORIENTATION</v>
      </c>
      <c r="K246" s="3" t="b">
        <f ca="1"/>
        <v>0</v>
      </c>
      <c r="L246" s="3" t="b">
        <f ca="1"/>
        <v>0</v>
      </c>
      <c r="M246" t="b">
        <f ca="1"/>
        <v>0</v>
      </c>
      <c r="N246" t="b">
        <v>0</v>
      </c>
      <c r="O246" s="2"/>
    </row>
    <row r="247" spans="2:15" x14ac:dyDescent="0.2">
      <c r="B247" s="2">
        <v>45924</v>
      </c>
      <c r="C247" s="2" t="str">
        <f ca="1"/>
        <v>Not in scope</v>
      </c>
      <c r="D247" s="3">
        <v>3</v>
      </c>
      <c r="E247" s="3" t="b">
        <v>1</v>
      </c>
      <c r="F247" s="3" t="b">
        <v>0</v>
      </c>
      <c r="G247" s="3" t="b">
        <v>0</v>
      </c>
      <c r="H247" s="3" t="b">
        <v>0</v>
      </c>
      <c r="I247" s="3" t="b">
        <f ca="1"/>
        <v>0</v>
      </c>
      <c r="J247" s="3" t="str">
        <v>45924_ORIENTATION</v>
      </c>
      <c r="K247" s="3" t="b">
        <f ca="1"/>
        <v>0</v>
      </c>
      <c r="L247" s="3" t="b">
        <f ca="1"/>
        <v>0</v>
      </c>
      <c r="M247" t="b">
        <f ca="1"/>
        <v>0</v>
      </c>
      <c r="N247" t="b">
        <v>0</v>
      </c>
      <c r="O247" s="2"/>
    </row>
    <row r="248" spans="2:15" x14ac:dyDescent="0.2">
      <c r="B248" s="2">
        <v>45925</v>
      </c>
      <c r="C248" s="2" t="str">
        <f ca="1"/>
        <v>Not in scope</v>
      </c>
      <c r="D248" s="3">
        <v>4</v>
      </c>
      <c r="E248" s="3" t="b">
        <v>1</v>
      </c>
      <c r="F248" s="3" t="b">
        <v>0</v>
      </c>
      <c r="G248" s="3" t="b">
        <v>0</v>
      </c>
      <c r="H248" s="3" t="b">
        <v>0</v>
      </c>
      <c r="I248" s="3" t="b">
        <f ca="1"/>
        <v>0</v>
      </c>
      <c r="J248" s="3" t="str">
        <v>45925_ORIENTATION</v>
      </c>
      <c r="K248" s="3" t="b">
        <f ca="1"/>
        <v>0</v>
      </c>
      <c r="L248" s="3" t="b">
        <f ca="1"/>
        <v>0</v>
      </c>
      <c r="M248" t="b">
        <f ca="1"/>
        <v>0</v>
      </c>
      <c r="N248" t="b">
        <v>0</v>
      </c>
      <c r="O248" s="2"/>
    </row>
    <row r="249" spans="2:15" x14ac:dyDescent="0.2">
      <c r="B249" s="2">
        <v>45926</v>
      </c>
      <c r="C249" s="2" t="str">
        <f ca="1"/>
        <v>Jour semaine</v>
      </c>
      <c r="D249" s="3">
        <v>5</v>
      </c>
      <c r="E249" s="3" t="b">
        <v>1</v>
      </c>
      <c r="F249" s="3" t="b">
        <v>0</v>
      </c>
      <c r="G249" s="3" t="b">
        <v>0</v>
      </c>
      <c r="H249" s="3" t="b">
        <v>0</v>
      </c>
      <c r="I249" s="3" t="b">
        <f ca="1"/>
        <v>0</v>
      </c>
      <c r="J249" s="3" t="str">
        <v>45926_ORIENTATION</v>
      </c>
      <c r="K249" s="3" t="b">
        <f ca="1"/>
        <v>0</v>
      </c>
      <c r="L249" s="3" t="b">
        <f ca="1"/>
        <v>0</v>
      </c>
      <c r="M249" t="b">
        <f ca="1"/>
        <v>0</v>
      </c>
      <c r="N249" t="b">
        <v>1</v>
      </c>
      <c r="O249" s="2"/>
    </row>
    <row r="250" spans="2:15" x14ac:dyDescent="0.2">
      <c r="B250" s="2">
        <v>45927</v>
      </c>
      <c r="C250" s="2" t="str">
        <f ca="1"/>
        <v>Not in scope</v>
      </c>
      <c r="D250" s="3">
        <v>6</v>
      </c>
      <c r="E250" s="3" t="b">
        <v>0</v>
      </c>
      <c r="F250" s="3" t="b">
        <v>0</v>
      </c>
      <c r="G250" s="3" t="b">
        <v>0</v>
      </c>
      <c r="H250" s="3" t="b">
        <v>0</v>
      </c>
      <c r="I250" s="3" t="b">
        <f ca="1"/>
        <v>0</v>
      </c>
      <c r="J250" s="3" t="str">
        <v>45927_ORIENTATION</v>
      </c>
      <c r="K250" s="3" t="b">
        <f ca="1"/>
        <v>0</v>
      </c>
      <c r="L250" s="3" t="b">
        <f ca="1"/>
        <v>0</v>
      </c>
      <c r="M250" t="b">
        <f ca="1"/>
        <v>0</v>
      </c>
      <c r="N250" t="b">
        <v>0</v>
      </c>
      <c r="O250" s="2"/>
    </row>
    <row r="251" spans="2:15" x14ac:dyDescent="0.2">
      <c r="B251" s="2">
        <v>45928</v>
      </c>
      <c r="C251" s="2" t="str">
        <f ca="1"/>
        <v>Not in scope</v>
      </c>
      <c r="D251" s="3">
        <v>7</v>
      </c>
      <c r="E251" s="3" t="b">
        <v>0</v>
      </c>
      <c r="F251" s="3" t="b">
        <v>0</v>
      </c>
      <c r="G251" s="3" t="b">
        <v>0</v>
      </c>
      <c r="H251" s="3" t="b">
        <v>0</v>
      </c>
      <c r="I251" s="3" t="b">
        <f ca="1"/>
        <v>0</v>
      </c>
      <c r="J251" s="3" t="str">
        <v>45928_ORIENTATION</v>
      </c>
      <c r="K251" s="3" t="b">
        <f ca="1"/>
        <v>0</v>
      </c>
      <c r="L251" s="3" t="b">
        <f ca="1"/>
        <v>0</v>
      </c>
      <c r="M251" t="b">
        <f ca="1"/>
        <v>0</v>
      </c>
      <c r="N251" t="b">
        <v>0</v>
      </c>
      <c r="O251" s="2"/>
    </row>
    <row r="252" spans="2:15" x14ac:dyDescent="0.2">
      <c r="B252" s="2">
        <v>45929</v>
      </c>
      <c r="C252" s="2" t="str">
        <f ca="1"/>
        <v>Not in scope</v>
      </c>
      <c r="D252" s="3">
        <v>1</v>
      </c>
      <c r="E252" s="3" t="b">
        <v>1</v>
      </c>
      <c r="F252" s="3" t="b">
        <v>0</v>
      </c>
      <c r="G252" s="3" t="b">
        <v>0</v>
      </c>
      <c r="H252" s="3" t="b">
        <v>0</v>
      </c>
      <c r="I252" s="3" t="b">
        <f ca="1"/>
        <v>0</v>
      </c>
      <c r="J252" s="3" t="str">
        <v>45929_ORIENTATION</v>
      </c>
      <c r="K252" s="3" t="b">
        <f ca="1"/>
        <v>0</v>
      </c>
      <c r="L252" s="3" t="b">
        <f ca="1"/>
        <v>0</v>
      </c>
      <c r="M252" t="b">
        <f ca="1"/>
        <v>0</v>
      </c>
      <c r="N252" t="b">
        <v>0</v>
      </c>
      <c r="O252" s="2"/>
    </row>
    <row r="253" spans="2:15" x14ac:dyDescent="0.2">
      <c r="B253" s="2">
        <v>45930</v>
      </c>
      <c r="C253" s="2" t="str">
        <f ca="1"/>
        <v>Not in scope</v>
      </c>
      <c r="D253" s="3">
        <v>2</v>
      </c>
      <c r="E253" s="3" t="b">
        <v>1</v>
      </c>
      <c r="F253" s="3" t="b">
        <v>0</v>
      </c>
      <c r="G253" s="3" t="b">
        <v>0</v>
      </c>
      <c r="H253" s="3" t="b">
        <v>0</v>
      </c>
      <c r="I253" s="3" t="b">
        <f ca="1"/>
        <v>0</v>
      </c>
      <c r="J253" s="3" t="str">
        <v>45930_ORIENTATION</v>
      </c>
      <c r="K253" s="3" t="b">
        <f ca="1"/>
        <v>0</v>
      </c>
      <c r="L253" s="3" t="b">
        <f ca="1"/>
        <v>0</v>
      </c>
      <c r="M253" t="b">
        <f ca="1"/>
        <v>0</v>
      </c>
      <c r="N253" t="b">
        <v>0</v>
      </c>
      <c r="O253" s="2"/>
    </row>
    <row r="254" spans="2:15" x14ac:dyDescent="0.2">
      <c r="B254" s="2">
        <v>45931</v>
      </c>
      <c r="C254" s="2" t="str">
        <f ca="1"/>
        <v>Not in scope</v>
      </c>
      <c r="D254" s="3">
        <v>3</v>
      </c>
      <c r="E254" s="3" t="b">
        <v>1</v>
      </c>
      <c r="F254" s="3" t="b">
        <v>0</v>
      </c>
      <c r="G254" s="3" t="b">
        <v>0</v>
      </c>
      <c r="H254" s="3" t="b">
        <v>0</v>
      </c>
      <c r="I254" s="3" t="b">
        <f ca="1"/>
        <v>0</v>
      </c>
      <c r="J254" s="3" t="str">
        <v>45931_ORIENTATION</v>
      </c>
      <c r="K254" s="3" t="b">
        <f ca="1"/>
        <v>0</v>
      </c>
      <c r="L254" s="3" t="b">
        <f ca="1"/>
        <v>0</v>
      </c>
      <c r="M254" t="b">
        <f ca="1"/>
        <v>0</v>
      </c>
      <c r="N254" t="b">
        <v>0</v>
      </c>
      <c r="O254" s="2"/>
    </row>
    <row r="255" spans="2:15" x14ac:dyDescent="0.2">
      <c r="B255" s="2">
        <v>45932</v>
      </c>
      <c r="C255" s="2" t="str">
        <f ca="1"/>
        <v>Not in scope</v>
      </c>
      <c r="D255" s="3">
        <v>4</v>
      </c>
      <c r="E255" s="3" t="b">
        <v>1</v>
      </c>
      <c r="F255" s="3" t="b">
        <v>0</v>
      </c>
      <c r="G255" s="3" t="b">
        <v>0</v>
      </c>
      <c r="H255" s="3" t="b">
        <v>0</v>
      </c>
      <c r="I255" s="3" t="b">
        <f ca="1"/>
        <v>0</v>
      </c>
      <c r="J255" s="3" t="str">
        <v>45932_ORIENTATION</v>
      </c>
      <c r="K255" s="3" t="b">
        <f ca="1"/>
        <v>0</v>
      </c>
      <c r="L255" s="3" t="b">
        <f ca="1"/>
        <v>0</v>
      </c>
      <c r="M255" t="b">
        <f ca="1"/>
        <v>0</v>
      </c>
      <c r="N255" t="b">
        <v>0</v>
      </c>
      <c r="O255" s="2"/>
    </row>
    <row r="256" spans="2:15" x14ac:dyDescent="0.2">
      <c r="B256" s="2">
        <v>45933</v>
      </c>
      <c r="C256" s="2" t="str">
        <f ca="1"/>
        <v>Jour semaine</v>
      </c>
      <c r="D256" s="3">
        <v>5</v>
      </c>
      <c r="E256" s="3" t="b">
        <v>1</v>
      </c>
      <c r="F256" s="3" t="b">
        <v>0</v>
      </c>
      <c r="G256" s="3" t="b">
        <v>0</v>
      </c>
      <c r="H256" s="3" t="b">
        <v>0</v>
      </c>
      <c r="I256" s="3" t="b">
        <f ca="1"/>
        <v>0</v>
      </c>
      <c r="J256" s="3" t="str">
        <v>45933_ORIENTATION</v>
      </c>
      <c r="K256" s="3" t="b">
        <f ca="1"/>
        <v>0</v>
      </c>
      <c r="L256" s="3" t="b">
        <f ca="1"/>
        <v>0</v>
      </c>
      <c r="M256" t="b">
        <f ca="1"/>
        <v>0</v>
      </c>
      <c r="N256" t="b">
        <v>1</v>
      </c>
      <c r="O256" s="2"/>
    </row>
    <row r="257" spans="2:15" x14ac:dyDescent="0.2">
      <c r="B257" s="2">
        <v>45934</v>
      </c>
      <c r="C257" s="2" t="str">
        <f ca="1"/>
        <v>Not in scope</v>
      </c>
      <c r="D257" s="3">
        <v>6</v>
      </c>
      <c r="E257" s="3" t="b">
        <v>0</v>
      </c>
      <c r="F257" s="3" t="b">
        <v>0</v>
      </c>
      <c r="G257" s="3" t="b">
        <v>0</v>
      </c>
      <c r="H257" s="3" t="b">
        <v>0</v>
      </c>
      <c r="I257" s="3" t="b">
        <f ca="1"/>
        <v>0</v>
      </c>
      <c r="J257" s="3" t="str">
        <v>45934_ORIENTATION</v>
      </c>
      <c r="K257" s="3" t="b">
        <f ca="1"/>
        <v>0</v>
      </c>
      <c r="L257" s="3" t="b">
        <f ca="1"/>
        <v>0</v>
      </c>
      <c r="M257" t="b">
        <f ca="1"/>
        <v>0</v>
      </c>
      <c r="N257" t="b">
        <v>0</v>
      </c>
      <c r="O257" s="2"/>
    </row>
    <row r="258" spans="2:15" x14ac:dyDescent="0.2">
      <c r="B258" s="2">
        <v>45935</v>
      </c>
      <c r="C258" s="2" t="str">
        <f ca="1"/>
        <v>Not in scope</v>
      </c>
      <c r="D258" s="3">
        <v>7</v>
      </c>
      <c r="E258" s="3" t="b">
        <v>0</v>
      </c>
      <c r="F258" s="3" t="b">
        <v>0</v>
      </c>
      <c r="G258" s="3" t="b">
        <v>0</v>
      </c>
      <c r="H258" s="3" t="b">
        <v>0</v>
      </c>
      <c r="I258" s="3" t="b">
        <f ca="1"/>
        <v>0</v>
      </c>
      <c r="J258" s="3" t="str">
        <v>45935_ORIENTATION</v>
      </c>
      <c r="K258" s="3" t="b">
        <f ca="1"/>
        <v>0</v>
      </c>
      <c r="L258" s="3" t="b">
        <f ca="1"/>
        <v>0</v>
      </c>
      <c r="M258" t="b">
        <f ca="1"/>
        <v>0</v>
      </c>
      <c r="N258" t="b">
        <v>0</v>
      </c>
      <c r="O258" s="2"/>
    </row>
    <row r="259" spans="2:15" x14ac:dyDescent="0.2">
      <c r="B259" s="2">
        <v>45936</v>
      </c>
      <c r="C259" s="2" t="str">
        <f ca="1"/>
        <v>Not in scope</v>
      </c>
      <c r="D259" s="3">
        <v>1</v>
      </c>
      <c r="E259" s="3" t="b">
        <v>1</v>
      </c>
      <c r="F259" s="3" t="b">
        <v>0</v>
      </c>
      <c r="G259" s="3" t="b">
        <v>0</v>
      </c>
      <c r="H259" s="3" t="b">
        <v>0</v>
      </c>
      <c r="I259" s="3" t="b">
        <f ca="1"/>
        <v>0</v>
      </c>
      <c r="J259" s="3" t="str">
        <v>45936_ORIENTATION</v>
      </c>
      <c r="K259" s="3" t="b">
        <f ca="1"/>
        <v>0</v>
      </c>
      <c r="L259" s="3" t="b">
        <f ca="1"/>
        <v>0</v>
      </c>
      <c r="M259" t="b">
        <f ca="1"/>
        <v>0</v>
      </c>
      <c r="N259" t="b">
        <v>0</v>
      </c>
      <c r="O259" s="2"/>
    </row>
    <row r="260" spans="2:15" x14ac:dyDescent="0.2">
      <c r="B260" s="2">
        <v>45937</v>
      </c>
      <c r="C260" s="2" t="str">
        <f ca="1"/>
        <v>Not in scope</v>
      </c>
      <c r="D260" s="3">
        <v>2</v>
      </c>
      <c r="E260" s="3" t="b">
        <v>1</v>
      </c>
      <c r="F260" s="3" t="b">
        <v>0</v>
      </c>
      <c r="G260" s="3" t="b">
        <v>0</v>
      </c>
      <c r="H260" s="3" t="b">
        <v>0</v>
      </c>
      <c r="I260" s="3" t="b">
        <f ca="1"/>
        <v>0</v>
      </c>
      <c r="J260" s="3" t="str">
        <v>45937_ORIENTATION</v>
      </c>
      <c r="K260" s="3" t="b">
        <f ca="1"/>
        <v>0</v>
      </c>
      <c r="L260" s="3" t="b">
        <f ca="1"/>
        <v>0</v>
      </c>
      <c r="M260" t="b">
        <f ca="1"/>
        <v>0</v>
      </c>
      <c r="N260" t="b">
        <v>0</v>
      </c>
      <c r="O260" s="2"/>
    </row>
    <row r="261" spans="2:15" x14ac:dyDescent="0.2">
      <c r="B261" s="2">
        <v>45938</v>
      </c>
      <c r="C261" s="2" t="str">
        <f ca="1"/>
        <v>Not in scope</v>
      </c>
      <c r="D261" s="3">
        <v>3</v>
      </c>
      <c r="E261" s="3" t="b">
        <v>1</v>
      </c>
      <c r="F261" s="3" t="b">
        <v>0</v>
      </c>
      <c r="G261" s="3" t="b">
        <v>0</v>
      </c>
      <c r="H261" s="3" t="b">
        <v>0</v>
      </c>
      <c r="I261" s="3" t="b">
        <f ca="1"/>
        <v>0</v>
      </c>
      <c r="J261" s="3" t="str">
        <v>45938_ORIENTATION</v>
      </c>
      <c r="K261" s="3" t="b">
        <f ca="1"/>
        <v>0</v>
      </c>
      <c r="L261" s="3" t="b">
        <f ca="1"/>
        <v>0</v>
      </c>
      <c r="M261" t="b">
        <f ca="1"/>
        <v>0</v>
      </c>
      <c r="N261" t="b">
        <v>0</v>
      </c>
      <c r="O261" s="2"/>
    </row>
    <row r="262" spans="2:15" x14ac:dyDescent="0.2">
      <c r="B262" s="2">
        <v>45939</v>
      </c>
      <c r="C262" s="2" t="str">
        <f ca="1"/>
        <v>Not in scope</v>
      </c>
      <c r="D262" s="3">
        <v>4</v>
      </c>
      <c r="E262" s="3" t="b">
        <v>1</v>
      </c>
      <c r="F262" s="3" t="b">
        <v>0</v>
      </c>
      <c r="G262" s="3" t="b">
        <v>0</v>
      </c>
      <c r="H262" s="3" t="b">
        <v>0</v>
      </c>
      <c r="I262" s="3" t="b">
        <f ca="1"/>
        <v>0</v>
      </c>
      <c r="J262" s="3" t="str">
        <v>45939_ORIENTATION</v>
      </c>
      <c r="K262" s="3" t="b">
        <f ca="1"/>
        <v>0</v>
      </c>
      <c r="L262" s="3" t="b">
        <f ca="1"/>
        <v>0</v>
      </c>
      <c r="M262" t="b">
        <f ca="1"/>
        <v>0</v>
      </c>
      <c r="N262" t="b">
        <v>0</v>
      </c>
      <c r="O262" s="2"/>
    </row>
    <row r="263" spans="2:15" x14ac:dyDescent="0.2">
      <c r="B263" s="2">
        <v>45940</v>
      </c>
      <c r="C263" s="2" t="str">
        <f ca="1"/>
        <v>Jour semaine</v>
      </c>
      <c r="D263" s="3">
        <v>5</v>
      </c>
      <c r="E263" s="3" t="b">
        <v>1</v>
      </c>
      <c r="F263" s="3" t="b">
        <v>0</v>
      </c>
      <c r="G263" s="3" t="b">
        <v>0</v>
      </c>
      <c r="H263" s="3" t="b">
        <v>0</v>
      </c>
      <c r="I263" s="3" t="b">
        <f ca="1"/>
        <v>0</v>
      </c>
      <c r="J263" s="3" t="str">
        <v>45940_ORIENTATION</v>
      </c>
      <c r="K263" s="3" t="b">
        <f ca="1"/>
        <v>0</v>
      </c>
      <c r="L263" s="3" t="b">
        <f ca="1"/>
        <v>0</v>
      </c>
      <c r="M263" t="b">
        <f ca="1"/>
        <v>0</v>
      </c>
      <c r="N263" t="b">
        <v>1</v>
      </c>
      <c r="O263" s="2"/>
    </row>
    <row r="264" spans="2:15" x14ac:dyDescent="0.2">
      <c r="B264" s="2">
        <v>45941</v>
      </c>
      <c r="C264" s="2" t="str">
        <f ca="1"/>
        <v>Not in scope</v>
      </c>
      <c r="D264" s="3">
        <v>6</v>
      </c>
      <c r="E264" s="3" t="b">
        <v>0</v>
      </c>
      <c r="F264" s="3" t="b">
        <v>0</v>
      </c>
      <c r="G264" s="3" t="b">
        <v>0</v>
      </c>
      <c r="H264" s="3" t="b">
        <v>0</v>
      </c>
      <c r="I264" s="3" t="b">
        <f ca="1"/>
        <v>0</v>
      </c>
      <c r="J264" s="3" t="str">
        <v>45941_ORIENTATION</v>
      </c>
      <c r="K264" s="3" t="b">
        <f ca="1"/>
        <v>0</v>
      </c>
      <c r="L264" s="3" t="b">
        <f ca="1"/>
        <v>0</v>
      </c>
      <c r="M264" t="b">
        <f ca="1"/>
        <v>0</v>
      </c>
      <c r="N264" t="b">
        <v>0</v>
      </c>
      <c r="O264" s="2"/>
    </row>
    <row r="265" spans="2:15" x14ac:dyDescent="0.2">
      <c r="B265" s="2">
        <v>45942</v>
      </c>
      <c r="C265" s="2" t="str">
        <f ca="1"/>
        <v>Not in scope</v>
      </c>
      <c r="D265" s="3">
        <v>7</v>
      </c>
      <c r="E265" s="3" t="b">
        <v>0</v>
      </c>
      <c r="F265" s="3" t="b">
        <v>0</v>
      </c>
      <c r="G265" s="3" t="b">
        <v>0</v>
      </c>
      <c r="H265" s="3" t="b">
        <v>0</v>
      </c>
      <c r="I265" s="3" t="b">
        <f ca="1"/>
        <v>0</v>
      </c>
      <c r="J265" s="3" t="str">
        <v>45942_ORIENTATION</v>
      </c>
      <c r="K265" s="3" t="b">
        <f ca="1"/>
        <v>0</v>
      </c>
      <c r="L265" s="3" t="b">
        <f ca="1"/>
        <v>0</v>
      </c>
      <c r="M265" t="b">
        <f ca="1"/>
        <v>0</v>
      </c>
      <c r="N265" t="b">
        <v>0</v>
      </c>
      <c r="O265" s="2"/>
    </row>
    <row r="266" spans="2:15" x14ac:dyDescent="0.2">
      <c r="B266" s="2">
        <v>45943</v>
      </c>
      <c r="C266" s="2" t="str">
        <f ca="1"/>
        <v>Not in scope</v>
      </c>
      <c r="D266" s="3">
        <v>1</v>
      </c>
      <c r="E266" s="3" t="b">
        <v>1</v>
      </c>
      <c r="F266" s="3" t="b">
        <v>0</v>
      </c>
      <c r="G266" s="3" t="b">
        <v>0</v>
      </c>
      <c r="H266" s="3" t="b">
        <v>0</v>
      </c>
      <c r="I266" s="3" t="b">
        <f ca="1"/>
        <v>0</v>
      </c>
      <c r="J266" s="3" t="str">
        <v>45943_ORIENTATION</v>
      </c>
      <c r="K266" s="3" t="b">
        <f ca="1"/>
        <v>0</v>
      </c>
      <c r="L266" s="3" t="b">
        <f ca="1"/>
        <v>0</v>
      </c>
      <c r="M266" t="b">
        <f ca="1"/>
        <v>0</v>
      </c>
      <c r="N266" t="b">
        <v>0</v>
      </c>
      <c r="O266" s="2"/>
    </row>
    <row r="267" spans="2:15" x14ac:dyDescent="0.2">
      <c r="B267" s="2">
        <v>45944</v>
      </c>
      <c r="C267" s="2" t="str">
        <f ca="1"/>
        <v>Not in scope</v>
      </c>
      <c r="D267" s="3">
        <v>2</v>
      </c>
      <c r="E267" s="3" t="b">
        <v>1</v>
      </c>
      <c r="F267" s="3" t="b">
        <v>0</v>
      </c>
      <c r="G267" s="3" t="b">
        <v>0</v>
      </c>
      <c r="H267" s="3" t="b">
        <v>0</v>
      </c>
      <c r="I267" s="3" t="b">
        <f ca="1"/>
        <v>0</v>
      </c>
      <c r="J267" s="3" t="str">
        <v>45944_ORIENTATION</v>
      </c>
      <c r="K267" s="3" t="b">
        <f ca="1"/>
        <v>0</v>
      </c>
      <c r="L267" s="3" t="b">
        <f ca="1"/>
        <v>0</v>
      </c>
      <c r="M267" t="b">
        <f ca="1"/>
        <v>0</v>
      </c>
      <c r="N267" t="b">
        <v>0</v>
      </c>
      <c r="O267" s="2"/>
    </row>
    <row r="268" spans="2:15" x14ac:dyDescent="0.2">
      <c r="B268" s="2">
        <v>45945</v>
      </c>
      <c r="C268" s="2" t="str">
        <f ca="1"/>
        <v>Not in scope</v>
      </c>
      <c r="D268" s="3">
        <v>3</v>
      </c>
      <c r="E268" s="3" t="b">
        <v>1</v>
      </c>
      <c r="F268" s="3" t="b">
        <v>0</v>
      </c>
      <c r="G268" s="3" t="b">
        <v>0</v>
      </c>
      <c r="H268" s="3" t="b">
        <v>0</v>
      </c>
      <c r="I268" s="3" t="b">
        <f ca="1"/>
        <v>0</v>
      </c>
      <c r="J268" s="3" t="str">
        <v>45945_ORIENTATION</v>
      </c>
      <c r="K268" s="3" t="b">
        <f ca="1"/>
        <v>0</v>
      </c>
      <c r="L268" s="3" t="b">
        <f ca="1"/>
        <v>0</v>
      </c>
      <c r="M268" t="b">
        <f ca="1"/>
        <v>0</v>
      </c>
      <c r="N268" t="b">
        <v>0</v>
      </c>
      <c r="O268" s="2"/>
    </row>
    <row r="269" spans="2:15" x14ac:dyDescent="0.2">
      <c r="B269" s="2">
        <v>45946</v>
      </c>
      <c r="C269" s="2" t="str">
        <f ca="1"/>
        <v>Not in scope</v>
      </c>
      <c r="D269" s="3">
        <v>4</v>
      </c>
      <c r="E269" s="3" t="b">
        <v>1</v>
      </c>
      <c r="F269" s="3" t="b">
        <v>0</v>
      </c>
      <c r="G269" s="3" t="b">
        <v>0</v>
      </c>
      <c r="H269" s="3" t="b">
        <v>0</v>
      </c>
      <c r="I269" s="3" t="b">
        <f ca="1"/>
        <v>0</v>
      </c>
      <c r="J269" s="3" t="str">
        <v>45946_ORIENTATION</v>
      </c>
      <c r="K269" s="3" t="b">
        <f ca="1"/>
        <v>0</v>
      </c>
      <c r="L269" s="3" t="b">
        <f ca="1"/>
        <v>0</v>
      </c>
      <c r="M269" t="b">
        <f ca="1"/>
        <v>0</v>
      </c>
      <c r="N269" t="b">
        <v>0</v>
      </c>
      <c r="O269" s="2"/>
    </row>
    <row r="270" spans="2:15" x14ac:dyDescent="0.2">
      <c r="B270" s="2">
        <v>45947</v>
      </c>
      <c r="C270" s="2" t="str">
        <f ca="1"/>
        <v>Jour semaine</v>
      </c>
      <c r="D270" s="3">
        <v>5</v>
      </c>
      <c r="E270" s="3" t="b">
        <v>1</v>
      </c>
      <c r="F270" s="3" t="b">
        <v>0</v>
      </c>
      <c r="G270" s="3" t="b">
        <v>0</v>
      </c>
      <c r="H270" s="3" t="b">
        <v>0</v>
      </c>
      <c r="I270" s="3" t="b">
        <f ca="1"/>
        <v>0</v>
      </c>
      <c r="J270" s="3" t="str">
        <v>45947_ORIENTATION</v>
      </c>
      <c r="K270" s="3" t="b">
        <f ca="1"/>
        <v>0</v>
      </c>
      <c r="L270" s="3" t="b">
        <f ca="1"/>
        <v>0</v>
      </c>
      <c r="M270" t="b">
        <f ca="1"/>
        <v>0</v>
      </c>
      <c r="N270" t="b">
        <v>1</v>
      </c>
      <c r="O270" s="2"/>
    </row>
    <row r="271" spans="2:15" x14ac:dyDescent="0.2">
      <c r="B271" s="2">
        <v>45948</v>
      </c>
      <c r="C271" s="2" t="str">
        <f ca="1"/>
        <v>Not in scope</v>
      </c>
      <c r="D271" s="3">
        <v>6</v>
      </c>
      <c r="E271" s="3" t="b">
        <v>0</v>
      </c>
      <c r="F271" s="3" t="b">
        <v>0</v>
      </c>
      <c r="G271" s="3" t="b">
        <v>0</v>
      </c>
      <c r="H271" s="3" t="b">
        <v>0</v>
      </c>
      <c r="I271" s="3" t="b">
        <f ca="1"/>
        <v>0</v>
      </c>
      <c r="J271" s="3" t="str">
        <v>45948_ORIENTATION</v>
      </c>
      <c r="K271" s="3" t="b">
        <f ca="1"/>
        <v>0</v>
      </c>
      <c r="L271" s="3" t="b">
        <f ca="1"/>
        <v>0</v>
      </c>
      <c r="M271" t="b">
        <f ca="1"/>
        <v>0</v>
      </c>
      <c r="N271" t="b">
        <v>0</v>
      </c>
      <c r="O271" s="2"/>
    </row>
    <row r="272" spans="2:15" x14ac:dyDescent="0.2">
      <c r="B272" s="2">
        <v>45949</v>
      </c>
      <c r="C272" s="2" t="str">
        <f ca="1"/>
        <v>Not in scope</v>
      </c>
      <c r="D272" s="3">
        <v>7</v>
      </c>
      <c r="E272" s="3" t="b">
        <v>0</v>
      </c>
      <c r="F272" s="3" t="b">
        <v>0</v>
      </c>
      <c r="G272" s="3" t="b">
        <v>0</v>
      </c>
      <c r="H272" s="3" t="b">
        <v>0</v>
      </c>
      <c r="I272" s="3" t="b">
        <f ca="1"/>
        <v>0</v>
      </c>
      <c r="J272" s="3" t="str">
        <v>45949_ORIENTATION</v>
      </c>
      <c r="K272" s="3" t="b">
        <f ca="1"/>
        <v>0</v>
      </c>
      <c r="L272" s="3" t="b">
        <f ca="1"/>
        <v>0</v>
      </c>
      <c r="M272" t="b">
        <f ca="1"/>
        <v>0</v>
      </c>
      <c r="N272" t="b">
        <v>0</v>
      </c>
      <c r="O272" s="2"/>
    </row>
    <row r="273" spans="2:15" x14ac:dyDescent="0.2">
      <c r="B273" s="2">
        <v>45950</v>
      </c>
      <c r="C273" s="2" t="str">
        <f ca="1"/>
        <v>Not in scope</v>
      </c>
      <c r="D273" s="3">
        <v>1</v>
      </c>
      <c r="E273" s="3" t="b">
        <v>1</v>
      </c>
      <c r="F273" s="3" t="b">
        <v>0</v>
      </c>
      <c r="G273" s="3" t="b">
        <v>0</v>
      </c>
      <c r="H273" s="3" t="b">
        <v>0</v>
      </c>
      <c r="I273" s="3" t="b">
        <f ca="1"/>
        <v>0</v>
      </c>
      <c r="J273" s="3" t="str">
        <v>45950_ORIENTATION</v>
      </c>
      <c r="K273" s="3" t="b">
        <f ca="1"/>
        <v>0</v>
      </c>
      <c r="L273" s="3" t="b">
        <f ca="1"/>
        <v>0</v>
      </c>
      <c r="M273" t="b">
        <f ca="1"/>
        <v>0</v>
      </c>
      <c r="N273" t="b">
        <v>0</v>
      </c>
      <c r="O273" s="2"/>
    </row>
    <row r="274" spans="2:15" x14ac:dyDescent="0.2">
      <c r="B274" s="2">
        <v>45951</v>
      </c>
      <c r="C274" s="2" t="str">
        <f ca="1"/>
        <v>Not in scope</v>
      </c>
      <c r="D274" s="3">
        <v>2</v>
      </c>
      <c r="E274" s="3" t="b">
        <v>1</v>
      </c>
      <c r="F274" s="3" t="b">
        <v>0</v>
      </c>
      <c r="G274" s="3" t="b">
        <v>0</v>
      </c>
      <c r="H274" s="3" t="b">
        <v>0</v>
      </c>
      <c r="I274" s="3" t="b">
        <f ca="1"/>
        <v>0</v>
      </c>
      <c r="J274" s="3" t="str">
        <v>45951_ORIENTATION</v>
      </c>
      <c r="K274" s="3" t="b">
        <f ca="1"/>
        <v>0</v>
      </c>
      <c r="L274" s="3" t="b">
        <f ca="1"/>
        <v>0</v>
      </c>
      <c r="M274" t="b">
        <f ca="1"/>
        <v>0</v>
      </c>
      <c r="N274" t="b">
        <v>0</v>
      </c>
      <c r="O274" s="2"/>
    </row>
    <row r="275" spans="2:15" x14ac:dyDescent="0.2">
      <c r="B275" s="2">
        <v>45952</v>
      </c>
      <c r="C275" s="2" t="str">
        <f ca="1"/>
        <v>Not in scope</v>
      </c>
      <c r="D275" s="3">
        <v>3</v>
      </c>
      <c r="E275" s="3" t="b">
        <v>1</v>
      </c>
      <c r="F275" s="3" t="b">
        <v>0</v>
      </c>
      <c r="G275" s="3" t="b">
        <v>0</v>
      </c>
      <c r="H275" s="3" t="b">
        <v>0</v>
      </c>
      <c r="I275" s="3" t="b">
        <f ca="1"/>
        <v>0</v>
      </c>
      <c r="J275" s="3" t="str">
        <v>45952_ORIENTATION</v>
      </c>
      <c r="K275" s="3" t="b">
        <f ca="1"/>
        <v>0</v>
      </c>
      <c r="L275" s="3" t="b">
        <f ca="1"/>
        <v>0</v>
      </c>
      <c r="M275" t="b">
        <f ca="1"/>
        <v>0</v>
      </c>
      <c r="N275" t="b">
        <v>0</v>
      </c>
      <c r="O275" s="2"/>
    </row>
    <row r="276" spans="2:15" x14ac:dyDescent="0.2">
      <c r="B276" s="2">
        <v>45953</v>
      </c>
      <c r="C276" s="2" t="str">
        <f ca="1"/>
        <v>Not in scope</v>
      </c>
      <c r="D276" s="3">
        <v>4</v>
      </c>
      <c r="E276" s="3" t="b">
        <v>1</v>
      </c>
      <c r="F276" s="3" t="b">
        <v>0</v>
      </c>
      <c r="G276" s="3" t="b">
        <v>0</v>
      </c>
      <c r="H276" s="3" t="b">
        <v>0</v>
      </c>
      <c r="I276" s="3" t="b">
        <f ca="1"/>
        <v>0</v>
      </c>
      <c r="J276" s="3" t="str">
        <v>45953_ORIENTATION</v>
      </c>
      <c r="K276" s="3" t="b">
        <f ca="1"/>
        <v>0</v>
      </c>
      <c r="L276" s="3" t="b">
        <f ca="1"/>
        <v>0</v>
      </c>
      <c r="M276" t="b">
        <f ca="1"/>
        <v>0</v>
      </c>
      <c r="N276" t="b">
        <v>0</v>
      </c>
      <c r="O276" s="2"/>
    </row>
    <row r="277" spans="2:15" x14ac:dyDescent="0.2">
      <c r="B277" s="2">
        <v>45954</v>
      </c>
      <c r="C277" s="2" t="str">
        <f ca="1"/>
        <v>Jour semaine</v>
      </c>
      <c r="D277" s="3">
        <v>5</v>
      </c>
      <c r="E277" s="3" t="b">
        <v>1</v>
      </c>
      <c r="F277" s="3" t="b">
        <v>0</v>
      </c>
      <c r="G277" s="3" t="b">
        <v>0</v>
      </c>
      <c r="H277" s="3" t="b">
        <v>0</v>
      </c>
      <c r="I277" s="3" t="b">
        <f ca="1"/>
        <v>0</v>
      </c>
      <c r="J277" s="3" t="str">
        <v>45954_ORIENTATION</v>
      </c>
      <c r="K277" s="3" t="b">
        <f ca="1"/>
        <v>0</v>
      </c>
      <c r="L277" s="3" t="b">
        <f ca="1"/>
        <v>0</v>
      </c>
      <c r="M277" t="b">
        <f ca="1"/>
        <v>0</v>
      </c>
      <c r="N277" t="b">
        <v>1</v>
      </c>
      <c r="O277" s="2"/>
    </row>
    <row r="278" spans="2:15" x14ac:dyDescent="0.2">
      <c r="B278" s="2">
        <v>45955</v>
      </c>
      <c r="C278" s="2" t="str">
        <f ca="1"/>
        <v>Not in scope</v>
      </c>
      <c r="D278" s="3">
        <v>6</v>
      </c>
      <c r="E278" s="3" t="b">
        <v>0</v>
      </c>
      <c r="F278" s="3" t="b">
        <v>0</v>
      </c>
      <c r="G278" s="3" t="b">
        <v>0</v>
      </c>
      <c r="H278" s="3" t="b">
        <v>0</v>
      </c>
      <c r="I278" s="3" t="b">
        <f ca="1"/>
        <v>0</v>
      </c>
      <c r="J278" s="3" t="str">
        <v>45955_ORIENTATION</v>
      </c>
      <c r="K278" s="3" t="b">
        <f ca="1"/>
        <v>0</v>
      </c>
      <c r="L278" s="3" t="b">
        <f ca="1"/>
        <v>0</v>
      </c>
      <c r="M278" t="b">
        <f ca="1"/>
        <v>0</v>
      </c>
      <c r="N278" t="b">
        <v>0</v>
      </c>
      <c r="O278" s="2"/>
    </row>
    <row r="279" spans="2:15" x14ac:dyDescent="0.2">
      <c r="B279" s="2">
        <v>45956</v>
      </c>
      <c r="C279" s="2" t="str">
        <f ca="1"/>
        <v>Not in scope</v>
      </c>
      <c r="D279" s="3">
        <v>7</v>
      </c>
      <c r="E279" s="3" t="b">
        <v>0</v>
      </c>
      <c r="F279" s="3" t="b">
        <v>0</v>
      </c>
      <c r="G279" s="3" t="b">
        <v>0</v>
      </c>
      <c r="H279" s="3" t="b">
        <v>0</v>
      </c>
      <c r="I279" s="3" t="b">
        <f ca="1"/>
        <v>0</v>
      </c>
      <c r="J279" s="3" t="str">
        <v>45956_ORIENTATION</v>
      </c>
      <c r="K279" s="3" t="b">
        <f ca="1"/>
        <v>0</v>
      </c>
      <c r="L279" s="3" t="b">
        <f ca="1"/>
        <v>0</v>
      </c>
      <c r="M279" t="b">
        <f ca="1"/>
        <v>0</v>
      </c>
      <c r="N279" t="b">
        <v>0</v>
      </c>
      <c r="O279" s="2"/>
    </row>
    <row r="280" spans="2:15" x14ac:dyDescent="0.2">
      <c r="B280" s="2">
        <v>45957</v>
      </c>
      <c r="C280" s="2" t="str">
        <f ca="1"/>
        <v>Not in scope</v>
      </c>
      <c r="D280" s="3">
        <v>1</v>
      </c>
      <c r="E280" s="3" t="b">
        <v>1</v>
      </c>
      <c r="F280" s="3" t="b">
        <v>0</v>
      </c>
      <c r="G280" s="3" t="b">
        <v>0</v>
      </c>
      <c r="H280" s="3" t="b">
        <v>0</v>
      </c>
      <c r="I280" s="3" t="b">
        <f ca="1"/>
        <v>0</v>
      </c>
      <c r="J280" s="3" t="str">
        <v>45957_ORIENTATION</v>
      </c>
      <c r="K280" s="3" t="b">
        <f ca="1"/>
        <v>0</v>
      </c>
      <c r="L280" s="3" t="b">
        <f ca="1"/>
        <v>0</v>
      </c>
      <c r="M280" t="b">
        <f ca="1"/>
        <v>0</v>
      </c>
      <c r="N280" t="b">
        <v>0</v>
      </c>
      <c r="O280" s="2"/>
    </row>
    <row r="281" spans="2:15" x14ac:dyDescent="0.2">
      <c r="B281" s="2">
        <v>45958</v>
      </c>
      <c r="C281" s="2" t="str">
        <f ca="1"/>
        <v>Not in scope</v>
      </c>
      <c r="D281" s="3">
        <v>2</v>
      </c>
      <c r="E281" s="3" t="b">
        <v>1</v>
      </c>
      <c r="F281" s="3" t="b">
        <v>0</v>
      </c>
      <c r="G281" s="3" t="b">
        <v>0</v>
      </c>
      <c r="H281" s="3" t="b">
        <v>0</v>
      </c>
      <c r="I281" s="3" t="b">
        <f ca="1"/>
        <v>0</v>
      </c>
      <c r="J281" s="3" t="str">
        <v>45958_ORIENTATION</v>
      </c>
      <c r="K281" s="3" t="b">
        <f ca="1"/>
        <v>0</v>
      </c>
      <c r="L281" s="3" t="b">
        <f ca="1"/>
        <v>0</v>
      </c>
      <c r="M281" t="b">
        <f ca="1"/>
        <v>0</v>
      </c>
      <c r="N281" t="b">
        <v>0</v>
      </c>
      <c r="O281" s="2"/>
    </row>
    <row r="282" spans="2:15" x14ac:dyDescent="0.2">
      <c r="B282" s="2">
        <v>45959</v>
      </c>
      <c r="C282" s="2" t="str">
        <f ca="1"/>
        <v>Not in scope</v>
      </c>
      <c r="D282" s="3">
        <v>3</v>
      </c>
      <c r="E282" s="3" t="b">
        <v>1</v>
      </c>
      <c r="F282" s="3" t="b">
        <v>0</v>
      </c>
      <c r="G282" s="3" t="b">
        <v>0</v>
      </c>
      <c r="H282" s="3" t="b">
        <v>0</v>
      </c>
      <c r="I282" s="3" t="b">
        <f ca="1"/>
        <v>0</v>
      </c>
      <c r="J282" s="3" t="str">
        <v>45959_ORIENTATION</v>
      </c>
      <c r="K282" s="3" t="b">
        <f ca="1"/>
        <v>0</v>
      </c>
      <c r="L282" s="3" t="b">
        <f ca="1"/>
        <v>0</v>
      </c>
      <c r="M282" t="b">
        <f ca="1"/>
        <v>0</v>
      </c>
      <c r="N282" t="b">
        <v>0</v>
      </c>
      <c r="O282" s="2"/>
    </row>
    <row r="283" spans="2:15" x14ac:dyDescent="0.2">
      <c r="B283" s="2">
        <v>45960</v>
      </c>
      <c r="C283" s="2" t="str">
        <f ca="1"/>
        <v>Not in scope</v>
      </c>
      <c r="D283" s="3">
        <v>4</v>
      </c>
      <c r="E283" s="3" t="b">
        <v>1</v>
      </c>
      <c r="F283" s="3" t="b">
        <v>0</v>
      </c>
      <c r="G283" s="3" t="b">
        <v>0</v>
      </c>
      <c r="H283" s="3" t="b">
        <v>0</v>
      </c>
      <c r="I283" s="3" t="b">
        <f ca="1"/>
        <v>0</v>
      </c>
      <c r="J283" s="3" t="str">
        <v>45960_ORIENTATION</v>
      </c>
      <c r="K283" s="3" t="b">
        <f ca="1"/>
        <v>0</v>
      </c>
      <c r="L283" s="3" t="b">
        <f ca="1"/>
        <v>0</v>
      </c>
      <c r="M283" t="b">
        <f ca="1"/>
        <v>0</v>
      </c>
      <c r="N283" t="b">
        <v>0</v>
      </c>
      <c r="O283" s="2"/>
    </row>
    <row r="284" spans="2:15" x14ac:dyDescent="0.2">
      <c r="B284" s="2">
        <v>45961</v>
      </c>
      <c r="C284" s="2" t="str">
        <f ca="1"/>
        <v>Jour semaine</v>
      </c>
      <c r="D284" s="3">
        <v>5</v>
      </c>
      <c r="E284" s="3" t="b">
        <v>1</v>
      </c>
      <c r="F284" s="3" t="b">
        <v>0</v>
      </c>
      <c r="G284" s="3" t="b">
        <v>0</v>
      </c>
      <c r="H284" s="3" t="b">
        <v>0</v>
      </c>
      <c r="I284" s="3" t="b">
        <f ca="1"/>
        <v>0</v>
      </c>
      <c r="J284" s="3" t="str">
        <v>45961_ORIENTATION</v>
      </c>
      <c r="K284" s="3" t="b">
        <f ca="1"/>
        <v>0</v>
      </c>
      <c r="L284" s="3" t="b">
        <f ca="1"/>
        <v>0</v>
      </c>
      <c r="M284" t="b">
        <f ca="1"/>
        <v>0</v>
      </c>
      <c r="N284" t="b">
        <v>1</v>
      </c>
      <c r="O284" s="2"/>
    </row>
    <row r="285" spans="2:15" x14ac:dyDescent="0.2">
      <c r="B285" s="2">
        <v>45962</v>
      </c>
      <c r="C285" s="2" t="str">
        <f ca="1"/>
        <v>Not in scope</v>
      </c>
      <c r="D285" s="3">
        <v>6</v>
      </c>
      <c r="E285" s="3" t="b">
        <v>0</v>
      </c>
      <c r="F285" s="3" t="b">
        <v>0</v>
      </c>
      <c r="G285" s="3" t="b">
        <v>0</v>
      </c>
      <c r="H285" s="3" t="b">
        <v>0</v>
      </c>
      <c r="I285" s="3" t="b">
        <f ca="1"/>
        <v>0</v>
      </c>
      <c r="J285" s="3" t="str">
        <v>45962_ORIENTATION</v>
      </c>
      <c r="K285" s="3" t="b">
        <f ca="1"/>
        <v>0</v>
      </c>
      <c r="L285" s="3" t="b">
        <f ca="1"/>
        <v>0</v>
      </c>
      <c r="M285" t="b">
        <f ca="1"/>
        <v>0</v>
      </c>
      <c r="N285" t="b">
        <v>0</v>
      </c>
      <c r="O285" s="2"/>
    </row>
    <row r="286" spans="2:15" x14ac:dyDescent="0.2">
      <c r="B286" s="2">
        <v>45963</v>
      </c>
      <c r="C286" s="2" t="str">
        <f ca="1"/>
        <v>Not in scope</v>
      </c>
      <c r="D286" s="3">
        <v>7</v>
      </c>
      <c r="E286" s="3" t="b">
        <v>0</v>
      </c>
      <c r="F286" s="3" t="b">
        <v>0</v>
      </c>
      <c r="G286" s="3" t="b">
        <v>0</v>
      </c>
      <c r="H286" s="3" t="b">
        <v>0</v>
      </c>
      <c r="I286" s="3" t="b">
        <f ca="1"/>
        <v>0</v>
      </c>
      <c r="J286" s="3" t="str">
        <v>45963_ORIENTATION</v>
      </c>
      <c r="K286" s="3" t="b">
        <f ca="1"/>
        <v>0</v>
      </c>
      <c r="L286" s="3" t="b">
        <f ca="1"/>
        <v>0</v>
      </c>
      <c r="M286" t="b">
        <f ca="1"/>
        <v>0</v>
      </c>
      <c r="N286" t="b">
        <v>0</v>
      </c>
      <c r="O286" s="2"/>
    </row>
    <row r="287" spans="2:15" x14ac:dyDescent="0.2">
      <c r="B287" s="2">
        <v>45964</v>
      </c>
      <c r="C287" s="2" t="str">
        <f ca="1"/>
        <v>Not in scope</v>
      </c>
      <c r="D287" s="3">
        <v>1</v>
      </c>
      <c r="E287" s="3" t="b">
        <v>1</v>
      </c>
      <c r="F287" s="3" t="b">
        <v>0</v>
      </c>
      <c r="G287" s="3" t="b">
        <v>0</v>
      </c>
      <c r="H287" s="3" t="b">
        <v>0</v>
      </c>
      <c r="I287" s="3" t="b">
        <f ca="1"/>
        <v>0</v>
      </c>
      <c r="J287" s="3" t="str">
        <v>45964_ORIENTATION</v>
      </c>
      <c r="K287" s="3" t="b">
        <f ca="1"/>
        <v>0</v>
      </c>
      <c r="L287" s="3" t="b">
        <f ca="1"/>
        <v>0</v>
      </c>
      <c r="M287" t="b">
        <f ca="1"/>
        <v>0</v>
      </c>
      <c r="N287" t="b">
        <v>0</v>
      </c>
      <c r="O287" s="2"/>
    </row>
    <row r="288" spans="2:15" x14ac:dyDescent="0.2">
      <c r="B288" s="2">
        <v>45965</v>
      </c>
      <c r="C288" s="2" t="str">
        <f ca="1"/>
        <v>Not in scope</v>
      </c>
      <c r="D288" s="3">
        <v>2</v>
      </c>
      <c r="E288" s="3" t="b">
        <v>1</v>
      </c>
      <c r="F288" s="3" t="b">
        <v>0</v>
      </c>
      <c r="G288" s="3" t="b">
        <v>0</v>
      </c>
      <c r="H288" s="3" t="b">
        <v>0</v>
      </c>
      <c r="I288" s="3" t="b">
        <f ca="1"/>
        <v>0</v>
      </c>
      <c r="J288" s="3" t="str">
        <v>45965_ORIENTATION</v>
      </c>
      <c r="K288" s="3" t="b">
        <f ca="1"/>
        <v>0</v>
      </c>
      <c r="L288" s="3" t="b">
        <f ca="1"/>
        <v>0</v>
      </c>
      <c r="M288" t="b">
        <f ca="1"/>
        <v>0</v>
      </c>
      <c r="N288" t="b">
        <v>0</v>
      </c>
      <c r="O288" s="2"/>
    </row>
    <row r="289" spans="2:15" x14ac:dyDescent="0.2">
      <c r="B289" s="2">
        <v>45966</v>
      </c>
      <c r="C289" s="2" t="str">
        <f ca="1"/>
        <v>Not in scope</v>
      </c>
      <c r="D289" s="3">
        <v>3</v>
      </c>
      <c r="E289" s="3" t="b">
        <v>1</v>
      </c>
      <c r="F289" s="3" t="b">
        <v>0</v>
      </c>
      <c r="G289" s="3" t="b">
        <v>0</v>
      </c>
      <c r="H289" s="3" t="b">
        <v>0</v>
      </c>
      <c r="I289" s="3" t="b">
        <f ca="1"/>
        <v>0</v>
      </c>
      <c r="J289" s="3" t="str">
        <v>45966_ORIENTATION</v>
      </c>
      <c r="K289" s="3" t="b">
        <f ca="1"/>
        <v>0</v>
      </c>
      <c r="L289" s="3" t="b">
        <f ca="1"/>
        <v>0</v>
      </c>
      <c r="M289" t="b">
        <f ca="1"/>
        <v>0</v>
      </c>
      <c r="N289" t="b">
        <v>0</v>
      </c>
      <c r="O289" s="2"/>
    </row>
    <row r="290" spans="2:15" x14ac:dyDescent="0.2">
      <c r="B290" s="2">
        <v>45967</v>
      </c>
      <c r="C290" s="2" t="str">
        <f ca="1"/>
        <v>Not in scope</v>
      </c>
      <c r="D290" s="3">
        <v>4</v>
      </c>
      <c r="E290" s="3" t="b">
        <v>1</v>
      </c>
      <c r="F290" s="3" t="b">
        <v>0</v>
      </c>
      <c r="G290" s="3" t="b">
        <v>0</v>
      </c>
      <c r="H290" s="3" t="b">
        <v>0</v>
      </c>
      <c r="I290" s="3" t="b">
        <f ca="1"/>
        <v>0</v>
      </c>
      <c r="J290" s="3" t="str">
        <v>45967_ORIENTATION</v>
      </c>
      <c r="K290" s="3" t="b">
        <f ca="1"/>
        <v>0</v>
      </c>
      <c r="L290" s="3" t="b">
        <f ca="1"/>
        <v>0</v>
      </c>
      <c r="M290" t="b">
        <f ca="1"/>
        <v>0</v>
      </c>
      <c r="N290" t="b">
        <v>0</v>
      </c>
      <c r="O290" s="2"/>
    </row>
    <row r="291" spans="2:15" x14ac:dyDescent="0.2">
      <c r="B291" s="2">
        <v>45968</v>
      </c>
      <c r="C291" s="2" t="str">
        <f ca="1"/>
        <v>Jour semaine</v>
      </c>
      <c r="D291" s="3">
        <v>5</v>
      </c>
      <c r="E291" s="3" t="b">
        <v>1</v>
      </c>
      <c r="F291" s="3" t="b">
        <v>0</v>
      </c>
      <c r="G291" s="3" t="b">
        <v>0</v>
      </c>
      <c r="H291" s="3" t="b">
        <v>0</v>
      </c>
      <c r="I291" s="3" t="b">
        <f ca="1"/>
        <v>0</v>
      </c>
      <c r="J291" s="3" t="str">
        <v>45968_ORIENTATION</v>
      </c>
      <c r="K291" s="3" t="b">
        <f ca="1"/>
        <v>0</v>
      </c>
      <c r="L291" s="3" t="b">
        <f ca="1"/>
        <v>0</v>
      </c>
      <c r="M291" t="b">
        <f ca="1"/>
        <v>0</v>
      </c>
      <c r="N291" t="b">
        <v>1</v>
      </c>
      <c r="O291" s="2"/>
    </row>
    <row r="292" spans="2:15" x14ac:dyDescent="0.2">
      <c r="B292" s="2">
        <v>45969</v>
      </c>
      <c r="C292" s="2" t="str">
        <f ca="1"/>
        <v>Not in scope</v>
      </c>
      <c r="D292" s="3">
        <v>6</v>
      </c>
      <c r="E292" s="3" t="b">
        <v>0</v>
      </c>
      <c r="F292" s="3" t="b">
        <v>0</v>
      </c>
      <c r="G292" s="3" t="b">
        <v>0</v>
      </c>
      <c r="H292" s="3" t="b">
        <v>0</v>
      </c>
      <c r="I292" s="3" t="b">
        <f ca="1"/>
        <v>0</v>
      </c>
      <c r="J292" s="3" t="str">
        <v>45969_ORIENTATION</v>
      </c>
      <c r="K292" s="3" t="b">
        <f ca="1"/>
        <v>0</v>
      </c>
      <c r="L292" s="3" t="b">
        <f ca="1"/>
        <v>0</v>
      </c>
      <c r="M292" t="b">
        <f ca="1"/>
        <v>0</v>
      </c>
      <c r="N292" t="b">
        <v>0</v>
      </c>
      <c r="O292" s="2"/>
    </row>
    <row r="293" spans="2:15" x14ac:dyDescent="0.2">
      <c r="B293" s="2">
        <v>45970</v>
      </c>
      <c r="C293" s="2" t="str">
        <f ca="1"/>
        <v>Not in scope</v>
      </c>
      <c r="D293" s="3">
        <v>7</v>
      </c>
      <c r="E293" s="3" t="b">
        <v>0</v>
      </c>
      <c r="F293" s="3" t="b">
        <v>0</v>
      </c>
      <c r="G293" s="3" t="b">
        <v>0</v>
      </c>
      <c r="H293" s="3" t="b">
        <v>0</v>
      </c>
      <c r="I293" s="3" t="b">
        <f ca="1"/>
        <v>0</v>
      </c>
      <c r="J293" s="3" t="str">
        <v>45970_ORIENTATION</v>
      </c>
      <c r="K293" s="3" t="b">
        <f ca="1"/>
        <v>0</v>
      </c>
      <c r="L293" s="3" t="b">
        <f ca="1"/>
        <v>0</v>
      </c>
      <c r="M293" t="b">
        <f ca="1"/>
        <v>0</v>
      </c>
      <c r="N293" t="b">
        <v>0</v>
      </c>
      <c r="O293" s="2"/>
    </row>
    <row r="294" spans="2:15" x14ac:dyDescent="0.2">
      <c r="B294" s="2">
        <v>45971</v>
      </c>
      <c r="C294" s="2" t="str">
        <f ca="1"/>
        <v>Not in scope</v>
      </c>
      <c r="D294" s="3">
        <v>1</v>
      </c>
      <c r="E294" s="3" t="b">
        <v>1</v>
      </c>
      <c r="F294" s="3" t="b">
        <v>0</v>
      </c>
      <c r="G294" s="3" t="b">
        <v>0</v>
      </c>
      <c r="H294" s="3" t="b">
        <v>0</v>
      </c>
      <c r="I294" s="3" t="b">
        <f ca="1"/>
        <v>0</v>
      </c>
      <c r="J294" s="3" t="str">
        <v>45971_ORIENTATION</v>
      </c>
      <c r="K294" s="3" t="b">
        <f ca="1"/>
        <v>0</v>
      </c>
      <c r="L294" s="3" t="b">
        <f ca="1"/>
        <v>0</v>
      </c>
      <c r="M294" t="b">
        <f ca="1"/>
        <v>1</v>
      </c>
      <c r="N294" t="b">
        <v>0</v>
      </c>
      <c r="O294" s="2"/>
    </row>
    <row r="295" spans="2:15" x14ac:dyDescent="0.2">
      <c r="B295" s="2">
        <v>45972</v>
      </c>
      <c r="C295" s="2" t="str">
        <f ca="1"/>
        <v>Not in scope</v>
      </c>
      <c r="D295" s="3">
        <v>2</v>
      </c>
      <c r="E295" s="3" t="b">
        <v>1</v>
      </c>
      <c r="F295" s="3" t="b">
        <v>1</v>
      </c>
      <c r="G295" s="3" t="b">
        <v>0</v>
      </c>
      <c r="H295" s="3" t="b">
        <v>0</v>
      </c>
      <c r="I295" s="3" t="b">
        <f ca="1"/>
        <v>0</v>
      </c>
      <c r="J295" s="3" t="str">
        <v>45972_ORIENTATION</v>
      </c>
      <c r="K295" s="3" t="b">
        <f ca="1"/>
        <v>0</v>
      </c>
      <c r="L295" s="3" t="b">
        <f ca="1"/>
        <v>0</v>
      </c>
      <c r="M295" t="b">
        <f ca="1"/>
        <v>0</v>
      </c>
      <c r="N295" t="b">
        <v>0</v>
      </c>
      <c r="O295" s="2"/>
    </row>
    <row r="296" spans="2:15" x14ac:dyDescent="0.2">
      <c r="B296" s="2">
        <v>45973</v>
      </c>
      <c r="C296" s="2" t="str">
        <f ca="1"/>
        <v>Not in scope</v>
      </c>
      <c r="D296" s="3">
        <v>3</v>
      </c>
      <c r="E296" s="3" t="b">
        <v>1</v>
      </c>
      <c r="F296" s="3" t="b">
        <v>0</v>
      </c>
      <c r="G296" s="3" t="b">
        <v>0</v>
      </c>
      <c r="H296" s="3" t="b">
        <v>0</v>
      </c>
      <c r="I296" s="3" t="b">
        <f ca="1"/>
        <v>0</v>
      </c>
      <c r="J296" s="3" t="str">
        <v>45973_ORIENTATION</v>
      </c>
      <c r="K296" s="3" t="b">
        <f ca="1"/>
        <v>0</v>
      </c>
      <c r="L296" s="3" t="b">
        <f ca="1"/>
        <v>0</v>
      </c>
      <c r="M296" t="b">
        <f ca="1"/>
        <v>0</v>
      </c>
      <c r="N296" t="b">
        <v>0</v>
      </c>
      <c r="O296" s="2"/>
    </row>
    <row r="297" spans="2:15" x14ac:dyDescent="0.2">
      <c r="B297" s="2">
        <v>45974</v>
      </c>
      <c r="C297" s="2" t="str">
        <f ca="1"/>
        <v>Not in scope</v>
      </c>
      <c r="D297" s="3">
        <v>4</v>
      </c>
      <c r="E297" s="3" t="b">
        <v>1</v>
      </c>
      <c r="F297" s="3" t="b">
        <v>0</v>
      </c>
      <c r="G297" s="3" t="b">
        <v>0</v>
      </c>
      <c r="H297" s="3" t="b">
        <v>0</v>
      </c>
      <c r="I297" s="3" t="b">
        <f ca="1"/>
        <v>0</v>
      </c>
      <c r="J297" s="3" t="str">
        <v>45974_ORIENTATION</v>
      </c>
      <c r="K297" s="3" t="b">
        <f ca="1"/>
        <v>0</v>
      </c>
      <c r="L297" s="3" t="b">
        <f ca="1"/>
        <v>0</v>
      </c>
      <c r="M297" t="b">
        <f ca="1"/>
        <v>0</v>
      </c>
      <c r="N297" t="b">
        <v>0</v>
      </c>
      <c r="O297" s="2"/>
    </row>
    <row r="298" spans="2:15" x14ac:dyDescent="0.2">
      <c r="B298" s="2">
        <v>45975</v>
      </c>
      <c r="C298" s="2" t="str">
        <f ca="1"/>
        <v>Jour semaine</v>
      </c>
      <c r="D298" s="3">
        <v>5</v>
      </c>
      <c r="E298" s="3" t="b">
        <v>1</v>
      </c>
      <c r="F298" s="3" t="b">
        <v>0</v>
      </c>
      <c r="G298" s="3" t="b">
        <v>0</v>
      </c>
      <c r="H298" s="3" t="b">
        <v>0</v>
      </c>
      <c r="I298" s="3" t="b">
        <f ca="1"/>
        <v>0</v>
      </c>
      <c r="J298" s="3" t="str">
        <v>45975_ORIENTATION</v>
      </c>
      <c r="K298" s="3" t="b">
        <f ca="1"/>
        <v>0</v>
      </c>
      <c r="L298" s="3" t="b">
        <f ca="1"/>
        <v>0</v>
      </c>
      <c r="M298" t="b">
        <f ca="1"/>
        <v>0</v>
      </c>
      <c r="N298" t="b">
        <v>1</v>
      </c>
      <c r="O298" s="2"/>
    </row>
    <row r="299" spans="2:15" x14ac:dyDescent="0.2">
      <c r="B299" s="2">
        <v>45976</v>
      </c>
      <c r="C299" s="2" t="str">
        <f ca="1"/>
        <v>Not in scope</v>
      </c>
      <c r="D299" s="3">
        <v>6</v>
      </c>
      <c r="E299" s="3" t="b">
        <v>0</v>
      </c>
      <c r="F299" s="3" t="b">
        <v>0</v>
      </c>
      <c r="G299" s="3" t="b">
        <v>0</v>
      </c>
      <c r="H299" s="3" t="b">
        <v>0</v>
      </c>
      <c r="I299" s="3" t="b">
        <f ca="1"/>
        <v>0</v>
      </c>
      <c r="J299" s="3" t="str">
        <v>45976_ORIENTATION</v>
      </c>
      <c r="K299" s="3" t="b">
        <f ca="1"/>
        <v>0</v>
      </c>
      <c r="L299" s="3" t="b">
        <f ca="1"/>
        <v>0</v>
      </c>
      <c r="M299" t="b">
        <f ca="1"/>
        <v>0</v>
      </c>
      <c r="N299" t="b">
        <v>0</v>
      </c>
      <c r="O299" s="2"/>
    </row>
    <row r="300" spans="2:15" x14ac:dyDescent="0.2">
      <c r="B300" s="2">
        <v>45977</v>
      </c>
      <c r="C300" s="2" t="str">
        <f ca="1"/>
        <v>Not in scope</v>
      </c>
      <c r="D300" s="3">
        <v>7</v>
      </c>
      <c r="E300" s="3" t="b">
        <v>0</v>
      </c>
      <c r="F300" s="3" t="b">
        <v>0</v>
      </c>
      <c r="G300" s="3" t="b">
        <v>0</v>
      </c>
      <c r="H300" s="3" t="b">
        <v>0</v>
      </c>
      <c r="I300" s="3" t="b">
        <f ca="1"/>
        <v>0</v>
      </c>
      <c r="J300" s="3" t="str">
        <v>45977_ORIENTATION</v>
      </c>
      <c r="K300" s="3" t="b">
        <f ca="1"/>
        <v>0</v>
      </c>
      <c r="L300" s="3" t="b">
        <f ca="1"/>
        <v>0</v>
      </c>
      <c r="M300" t="b">
        <f ca="1"/>
        <v>0</v>
      </c>
      <c r="N300" t="b">
        <v>0</v>
      </c>
      <c r="O300" s="2"/>
    </row>
    <row r="301" spans="2:15" x14ac:dyDescent="0.2">
      <c r="B301" s="2">
        <v>45978</v>
      </c>
      <c r="C301" s="2" t="str">
        <f ca="1"/>
        <v>Not in scope</v>
      </c>
      <c r="D301" s="3">
        <v>1</v>
      </c>
      <c r="E301" s="3" t="b">
        <v>1</v>
      </c>
      <c r="F301" s="3" t="b">
        <v>0</v>
      </c>
      <c r="G301" s="3" t="b">
        <v>0</v>
      </c>
      <c r="H301" s="3" t="b">
        <v>0</v>
      </c>
      <c r="I301" s="3" t="b">
        <f ca="1"/>
        <v>0</v>
      </c>
      <c r="J301" s="3" t="str">
        <v>45978_ORIENTATION</v>
      </c>
      <c r="K301" s="3" t="b">
        <f ca="1"/>
        <v>0</v>
      </c>
      <c r="L301" s="3" t="b">
        <f ca="1"/>
        <v>0</v>
      </c>
      <c r="M301" t="b">
        <f ca="1"/>
        <v>0</v>
      </c>
      <c r="N301" t="b">
        <v>0</v>
      </c>
      <c r="O301" s="2"/>
    </row>
    <row r="302" spans="2:15" x14ac:dyDescent="0.2">
      <c r="B302" s="2">
        <v>45979</v>
      </c>
      <c r="C302" s="2" t="str">
        <f ca="1"/>
        <v>Not in scope</v>
      </c>
      <c r="D302" s="3">
        <v>2</v>
      </c>
      <c r="E302" s="3" t="b">
        <v>1</v>
      </c>
      <c r="F302" s="3" t="b">
        <v>0</v>
      </c>
      <c r="G302" s="3" t="b">
        <v>0</v>
      </c>
      <c r="H302" s="3" t="b">
        <v>0</v>
      </c>
      <c r="I302" s="3" t="b">
        <f ca="1"/>
        <v>0</v>
      </c>
      <c r="J302" s="3" t="str">
        <v>45979_ORIENTATION</v>
      </c>
      <c r="K302" s="3" t="b">
        <f ca="1"/>
        <v>0</v>
      </c>
      <c r="L302" s="3" t="b">
        <f ca="1"/>
        <v>0</v>
      </c>
      <c r="M302" t="b">
        <f ca="1"/>
        <v>0</v>
      </c>
      <c r="N302" t="b">
        <v>0</v>
      </c>
      <c r="O302" s="2"/>
    </row>
    <row r="303" spans="2:15" x14ac:dyDescent="0.2">
      <c r="B303" s="2">
        <v>45980</v>
      </c>
      <c r="C303" s="2" t="str">
        <f ca="1"/>
        <v>Not in scope</v>
      </c>
      <c r="D303" s="3">
        <v>3</v>
      </c>
      <c r="E303" s="3" t="b">
        <v>1</v>
      </c>
      <c r="F303" s="3" t="b">
        <v>0</v>
      </c>
      <c r="G303" s="3" t="b">
        <v>0</v>
      </c>
      <c r="H303" s="3" t="b">
        <v>0</v>
      </c>
      <c r="I303" s="3" t="b">
        <f ca="1"/>
        <v>0</v>
      </c>
      <c r="J303" s="3" t="str">
        <v>45980_ORIENTATION</v>
      </c>
      <c r="K303" s="3" t="b">
        <f ca="1"/>
        <v>0</v>
      </c>
      <c r="L303" s="3" t="b">
        <f ca="1"/>
        <v>0</v>
      </c>
      <c r="M303" t="b">
        <f ca="1"/>
        <v>0</v>
      </c>
      <c r="N303" t="b">
        <v>0</v>
      </c>
      <c r="O303" s="2"/>
    </row>
    <row r="304" spans="2:15" x14ac:dyDescent="0.2">
      <c r="B304" s="2">
        <v>45981</v>
      </c>
      <c r="C304" s="2" t="str">
        <f ca="1"/>
        <v>Not in scope</v>
      </c>
      <c r="D304" s="3">
        <v>4</v>
      </c>
      <c r="E304" s="3" t="b">
        <v>1</v>
      </c>
      <c r="F304" s="3" t="b">
        <v>0</v>
      </c>
      <c r="G304" s="3" t="b">
        <v>0</v>
      </c>
      <c r="H304" s="3" t="b">
        <v>0</v>
      </c>
      <c r="I304" s="3" t="b">
        <f ca="1"/>
        <v>0</v>
      </c>
      <c r="J304" s="3" t="str">
        <v>45981_ORIENTATION</v>
      </c>
      <c r="K304" s="3" t="b">
        <f ca="1"/>
        <v>0</v>
      </c>
      <c r="L304" s="3" t="b">
        <f ca="1"/>
        <v>0</v>
      </c>
      <c r="M304" t="b">
        <f ca="1"/>
        <v>0</v>
      </c>
      <c r="N304" t="b">
        <v>0</v>
      </c>
      <c r="O304" s="2"/>
    </row>
    <row r="305" spans="2:15" x14ac:dyDescent="0.2">
      <c r="B305" s="2">
        <v>45982</v>
      </c>
      <c r="C305" s="2" t="str">
        <f ca="1"/>
        <v>Jour semaine</v>
      </c>
      <c r="D305" s="3">
        <v>5</v>
      </c>
      <c r="E305" s="3" t="b">
        <v>1</v>
      </c>
      <c r="F305" s="3" t="b">
        <v>0</v>
      </c>
      <c r="G305" s="3" t="b">
        <v>0</v>
      </c>
      <c r="H305" s="3" t="b">
        <v>0</v>
      </c>
      <c r="I305" s="3" t="b">
        <f ca="1"/>
        <v>0</v>
      </c>
      <c r="J305" s="3" t="str">
        <v>45982_ORIENTATION</v>
      </c>
      <c r="K305" s="3" t="b">
        <f ca="1"/>
        <v>0</v>
      </c>
      <c r="L305" s="3" t="b">
        <f ca="1"/>
        <v>0</v>
      </c>
      <c r="M305" t="b">
        <f ca="1"/>
        <v>0</v>
      </c>
      <c r="N305" t="b">
        <v>1</v>
      </c>
      <c r="O305" s="2"/>
    </row>
    <row r="306" spans="2:15" x14ac:dyDescent="0.2">
      <c r="B306" s="2">
        <v>45983</v>
      </c>
      <c r="C306" s="2" t="str">
        <f ca="1"/>
        <v>Not in scope</v>
      </c>
      <c r="D306" s="3">
        <v>6</v>
      </c>
      <c r="E306" s="3" t="b">
        <v>0</v>
      </c>
      <c r="F306" s="3" t="b">
        <v>0</v>
      </c>
      <c r="G306" s="3" t="b">
        <v>0</v>
      </c>
      <c r="H306" s="3" t="b">
        <v>0</v>
      </c>
      <c r="I306" s="3" t="b">
        <f ca="1"/>
        <v>0</v>
      </c>
      <c r="J306" s="3" t="str">
        <v>45983_ORIENTATION</v>
      </c>
      <c r="K306" s="3" t="b">
        <f ca="1"/>
        <v>0</v>
      </c>
      <c r="L306" s="3" t="b">
        <f ca="1"/>
        <v>0</v>
      </c>
      <c r="M306" t="b">
        <f ca="1"/>
        <v>0</v>
      </c>
      <c r="N306" t="b">
        <v>0</v>
      </c>
      <c r="O306" s="2"/>
    </row>
    <row r="307" spans="2:15" x14ac:dyDescent="0.2">
      <c r="B307" s="2">
        <v>45984</v>
      </c>
      <c r="C307" s="2" t="str">
        <f ca="1"/>
        <v>Not in scope</v>
      </c>
      <c r="D307" s="3">
        <v>7</v>
      </c>
      <c r="E307" s="3" t="b">
        <v>0</v>
      </c>
      <c r="F307" s="3" t="b">
        <v>0</v>
      </c>
      <c r="G307" s="3" t="b">
        <v>0</v>
      </c>
      <c r="H307" s="3" t="b">
        <v>0</v>
      </c>
      <c r="I307" s="3" t="b">
        <f ca="1"/>
        <v>0</v>
      </c>
      <c r="J307" s="3" t="str">
        <v>45984_ORIENTATION</v>
      </c>
      <c r="K307" s="3" t="b">
        <f ca="1"/>
        <v>0</v>
      </c>
      <c r="L307" s="3" t="b">
        <f ca="1"/>
        <v>0</v>
      </c>
      <c r="M307" t="b">
        <f ca="1"/>
        <v>0</v>
      </c>
      <c r="N307" t="b">
        <v>0</v>
      </c>
      <c r="O307" s="2"/>
    </row>
    <row r="308" spans="2:15" x14ac:dyDescent="0.2">
      <c r="B308" s="2">
        <v>45985</v>
      </c>
      <c r="C308" s="2" t="str">
        <f ca="1"/>
        <v>Not in scope</v>
      </c>
      <c r="D308" s="3">
        <v>1</v>
      </c>
      <c r="E308" s="3" t="b">
        <v>1</v>
      </c>
      <c r="F308" s="3" t="b">
        <v>0</v>
      </c>
      <c r="G308" s="3" t="b">
        <v>0</v>
      </c>
      <c r="H308" s="3" t="b">
        <v>0</v>
      </c>
      <c r="I308" s="3" t="b">
        <f ca="1"/>
        <v>0</v>
      </c>
      <c r="J308" s="3" t="str">
        <v>45985_ORIENTATION</v>
      </c>
      <c r="K308" s="3" t="b">
        <f ca="1"/>
        <v>0</v>
      </c>
      <c r="L308" s="3" t="b">
        <f ca="1"/>
        <v>0</v>
      </c>
      <c r="M308" t="b">
        <f ca="1"/>
        <v>0</v>
      </c>
      <c r="N308" t="b">
        <v>0</v>
      </c>
      <c r="O308" s="2"/>
    </row>
    <row r="309" spans="2:15" x14ac:dyDescent="0.2">
      <c r="B309" s="2">
        <v>45986</v>
      </c>
      <c r="C309" s="2" t="str">
        <f ca="1"/>
        <v>Not in scope</v>
      </c>
      <c r="D309" s="3">
        <v>2</v>
      </c>
      <c r="E309" s="3" t="b">
        <v>1</v>
      </c>
      <c r="F309" s="3" t="b">
        <v>0</v>
      </c>
      <c r="G309" s="3" t="b">
        <v>0</v>
      </c>
      <c r="H309" s="3" t="b">
        <v>0</v>
      </c>
      <c r="I309" s="3" t="b">
        <f ca="1"/>
        <v>0</v>
      </c>
      <c r="J309" s="3" t="str">
        <v>45986_ORIENTATION</v>
      </c>
      <c r="K309" s="3" t="b">
        <f ca="1"/>
        <v>0</v>
      </c>
      <c r="L309" s="3" t="b">
        <f ca="1"/>
        <v>0</v>
      </c>
      <c r="M309" t="b">
        <f ca="1"/>
        <v>0</v>
      </c>
      <c r="N309" t="b">
        <v>0</v>
      </c>
      <c r="O309" s="2"/>
    </row>
    <row r="310" spans="2:15" x14ac:dyDescent="0.2">
      <c r="B310" s="2">
        <v>45987</v>
      </c>
      <c r="C310" s="2" t="str">
        <f ca="1"/>
        <v>Not in scope</v>
      </c>
      <c r="D310" s="3">
        <v>3</v>
      </c>
      <c r="E310" s="3" t="b">
        <v>1</v>
      </c>
      <c r="F310" s="3" t="b">
        <v>0</v>
      </c>
      <c r="G310" s="3" t="b">
        <v>0</v>
      </c>
      <c r="H310" s="3" t="b">
        <v>0</v>
      </c>
      <c r="I310" s="3" t="b">
        <f ca="1"/>
        <v>0</v>
      </c>
      <c r="J310" s="3" t="str">
        <v>45987_ORIENTATION</v>
      </c>
      <c r="K310" s="3" t="b">
        <f ca="1"/>
        <v>0</v>
      </c>
      <c r="L310" s="3" t="b">
        <f ca="1"/>
        <v>0</v>
      </c>
      <c r="M310" t="b">
        <f ca="1"/>
        <v>0</v>
      </c>
      <c r="N310" t="b">
        <v>0</v>
      </c>
      <c r="O310" s="2"/>
    </row>
    <row r="311" spans="2:15" x14ac:dyDescent="0.2">
      <c r="B311" s="2">
        <v>45988</v>
      </c>
      <c r="C311" s="2" t="str">
        <f ca="1"/>
        <v>Not in scope</v>
      </c>
      <c r="D311" s="3">
        <v>4</v>
      </c>
      <c r="E311" s="3" t="b">
        <v>1</v>
      </c>
      <c r="F311" s="3" t="b">
        <v>0</v>
      </c>
      <c r="G311" s="3" t="b">
        <v>0</v>
      </c>
      <c r="H311" s="3" t="b">
        <v>0</v>
      </c>
      <c r="I311" s="3" t="b">
        <f ca="1"/>
        <v>0</v>
      </c>
      <c r="J311" s="3" t="str">
        <v>45988_ORIENTATION</v>
      </c>
      <c r="K311" s="3" t="b">
        <f ca="1"/>
        <v>0</v>
      </c>
      <c r="L311" s="3" t="b">
        <f ca="1"/>
        <v>0</v>
      </c>
      <c r="M311" t="b">
        <f ca="1"/>
        <v>0</v>
      </c>
      <c r="N311" t="b">
        <v>0</v>
      </c>
      <c r="O311" s="2"/>
    </row>
    <row r="312" spans="2:15" x14ac:dyDescent="0.2">
      <c r="B312" s="2">
        <v>45989</v>
      </c>
      <c r="C312" s="2" t="str">
        <f ca="1"/>
        <v>Jour semaine</v>
      </c>
      <c r="D312" s="3">
        <v>5</v>
      </c>
      <c r="E312" s="3" t="b">
        <v>1</v>
      </c>
      <c r="F312" s="3" t="b">
        <v>0</v>
      </c>
      <c r="G312" s="3" t="b">
        <v>0</v>
      </c>
      <c r="H312" s="3" t="b">
        <v>0</v>
      </c>
      <c r="I312" s="3" t="b">
        <f ca="1"/>
        <v>0</v>
      </c>
      <c r="J312" s="3" t="str">
        <v>45989_ORIENTATION</v>
      </c>
      <c r="K312" s="3" t="b">
        <f ca="1"/>
        <v>0</v>
      </c>
      <c r="L312" s="3" t="b">
        <f ca="1"/>
        <v>0</v>
      </c>
      <c r="M312" t="b">
        <f ca="1"/>
        <v>0</v>
      </c>
      <c r="N312" t="b">
        <v>1</v>
      </c>
      <c r="O312" s="2"/>
    </row>
    <row r="313" spans="2:15" x14ac:dyDescent="0.2">
      <c r="B313" s="2">
        <v>45990</v>
      </c>
      <c r="C313" s="2" t="str">
        <f ca="1"/>
        <v>Not in scope</v>
      </c>
      <c r="D313" s="3">
        <v>6</v>
      </c>
      <c r="E313" s="3" t="b">
        <v>0</v>
      </c>
      <c r="F313" s="3" t="b">
        <v>0</v>
      </c>
      <c r="G313" s="3" t="b">
        <v>0</v>
      </c>
      <c r="H313" s="3" t="b">
        <v>0</v>
      </c>
      <c r="I313" s="3" t="b">
        <f ca="1"/>
        <v>0</v>
      </c>
      <c r="J313" s="3" t="str">
        <v>45990_ORIENTATION</v>
      </c>
      <c r="K313" s="3" t="b">
        <f ca="1"/>
        <v>0</v>
      </c>
      <c r="L313" s="3" t="b">
        <f ca="1"/>
        <v>0</v>
      </c>
      <c r="M313" t="b">
        <f ca="1"/>
        <v>0</v>
      </c>
      <c r="N313" t="b">
        <v>0</v>
      </c>
      <c r="O313" s="2"/>
    </row>
    <row r="314" spans="2:15" x14ac:dyDescent="0.2">
      <c r="B314" s="2">
        <v>45991</v>
      </c>
      <c r="C314" s="2" t="str">
        <f ca="1"/>
        <v>Not in scope</v>
      </c>
      <c r="D314" s="3">
        <v>7</v>
      </c>
      <c r="E314" s="3" t="b">
        <v>0</v>
      </c>
      <c r="F314" s="3" t="b">
        <v>0</v>
      </c>
      <c r="G314" s="3" t="b">
        <v>0</v>
      </c>
      <c r="H314" s="3" t="b">
        <v>0</v>
      </c>
      <c r="I314" s="3" t="b">
        <f ca="1"/>
        <v>0</v>
      </c>
      <c r="J314" s="3" t="str">
        <v>45991_ORIENTATION</v>
      </c>
      <c r="K314" s="3" t="b">
        <f ca="1"/>
        <v>0</v>
      </c>
      <c r="L314" s="3" t="b">
        <f ca="1"/>
        <v>0</v>
      </c>
      <c r="M314" t="b">
        <f ca="1"/>
        <v>0</v>
      </c>
      <c r="N314" t="b">
        <v>0</v>
      </c>
      <c r="O314" s="2"/>
    </row>
    <row r="315" spans="2:15" x14ac:dyDescent="0.2">
      <c r="B315" s="2">
        <v>45992</v>
      </c>
      <c r="C315" s="2" t="str">
        <f ca="1"/>
        <v>Not in scope</v>
      </c>
      <c r="D315" s="3">
        <v>1</v>
      </c>
      <c r="E315" s="3" t="b">
        <v>1</v>
      </c>
      <c r="F315" s="3" t="b">
        <v>0</v>
      </c>
      <c r="G315" s="3" t="b">
        <v>0</v>
      </c>
      <c r="H315" s="3" t="b">
        <v>0</v>
      </c>
      <c r="I315" s="3" t="b">
        <f ca="1"/>
        <v>0</v>
      </c>
      <c r="J315" s="3" t="str">
        <v>45992_ORIENTATION</v>
      </c>
      <c r="K315" s="3" t="b">
        <f ca="1"/>
        <v>0</v>
      </c>
      <c r="L315" s="3" t="b">
        <f ca="1"/>
        <v>0</v>
      </c>
      <c r="M315" t="b">
        <f ca="1"/>
        <v>0</v>
      </c>
      <c r="N315" t="b">
        <v>0</v>
      </c>
      <c r="O315" s="2"/>
    </row>
    <row r="316" spans="2:15" x14ac:dyDescent="0.2">
      <c r="B316" s="2">
        <v>45993</v>
      </c>
      <c r="C316" s="2" t="str">
        <f ca="1"/>
        <v>Not in scope</v>
      </c>
      <c r="D316" s="3">
        <v>2</v>
      </c>
      <c r="E316" s="3" t="b">
        <v>1</v>
      </c>
      <c r="F316" s="3" t="b">
        <v>0</v>
      </c>
      <c r="G316" s="3" t="b">
        <v>0</v>
      </c>
      <c r="H316" s="3" t="b">
        <v>0</v>
      </c>
      <c r="I316" s="3" t="b">
        <f ca="1"/>
        <v>0</v>
      </c>
      <c r="J316" s="3" t="str">
        <v>45993_ORIENTATION</v>
      </c>
      <c r="K316" s="3" t="b">
        <f ca="1"/>
        <v>0</v>
      </c>
      <c r="L316" s="3" t="b">
        <f ca="1"/>
        <v>0</v>
      </c>
      <c r="M316" t="b">
        <f ca="1"/>
        <v>0</v>
      </c>
      <c r="N316" t="b">
        <v>0</v>
      </c>
      <c r="O316" s="2"/>
    </row>
    <row r="317" spans="2:15" x14ac:dyDescent="0.2">
      <c r="B317" s="2">
        <v>45994</v>
      </c>
      <c r="C317" s="2" t="str">
        <f ca="1"/>
        <v>Not in scope</v>
      </c>
      <c r="D317" s="3">
        <v>3</v>
      </c>
      <c r="E317" s="3" t="b">
        <v>1</v>
      </c>
      <c r="F317" s="3" t="b">
        <v>0</v>
      </c>
      <c r="G317" s="3" t="b">
        <v>0</v>
      </c>
      <c r="H317" s="3" t="b">
        <v>0</v>
      </c>
      <c r="I317" s="3" t="b">
        <f ca="1"/>
        <v>0</v>
      </c>
      <c r="J317" s="3" t="str">
        <v>45994_ORIENTATION</v>
      </c>
      <c r="K317" s="3" t="b">
        <f ca="1"/>
        <v>0</v>
      </c>
      <c r="L317" s="3" t="b">
        <f ca="1"/>
        <v>0</v>
      </c>
      <c r="M317" t="b">
        <f ca="1"/>
        <v>0</v>
      </c>
      <c r="N317" t="b">
        <v>0</v>
      </c>
      <c r="O317" s="2"/>
    </row>
    <row r="318" spans="2:15" x14ac:dyDescent="0.2">
      <c r="B318" s="2">
        <v>45995</v>
      </c>
      <c r="C318" s="2" t="str">
        <f ca="1"/>
        <v>Not in scope</v>
      </c>
      <c r="D318" s="3">
        <v>4</v>
      </c>
      <c r="E318" s="3" t="b">
        <v>1</v>
      </c>
      <c r="F318" s="3" t="b">
        <v>0</v>
      </c>
      <c r="G318" s="3" t="b">
        <v>0</v>
      </c>
      <c r="H318" s="3" t="b">
        <v>0</v>
      </c>
      <c r="I318" s="3" t="b">
        <f ca="1"/>
        <v>0</v>
      </c>
      <c r="J318" s="3" t="str">
        <v>45995_ORIENTATION</v>
      </c>
      <c r="K318" s="3" t="b">
        <f ca="1"/>
        <v>0</v>
      </c>
      <c r="L318" s="3" t="b">
        <f ca="1"/>
        <v>0</v>
      </c>
      <c r="M318" t="b">
        <f ca="1"/>
        <v>0</v>
      </c>
      <c r="N318" t="b">
        <v>0</v>
      </c>
      <c r="O318" s="2"/>
    </row>
    <row r="319" spans="2:15" x14ac:dyDescent="0.2">
      <c r="B319" s="2">
        <v>45996</v>
      </c>
      <c r="C319" s="2" t="str">
        <f ca="1"/>
        <v>Jour semaine</v>
      </c>
      <c r="D319" s="3">
        <v>5</v>
      </c>
      <c r="E319" s="3" t="b">
        <v>1</v>
      </c>
      <c r="F319" s="3" t="b">
        <v>0</v>
      </c>
      <c r="G319" s="3" t="b">
        <v>0</v>
      </c>
      <c r="H319" s="3" t="b">
        <v>0</v>
      </c>
      <c r="I319" s="3" t="b">
        <f ca="1"/>
        <v>0</v>
      </c>
      <c r="J319" s="3" t="str">
        <v>45996_ORIENTATION</v>
      </c>
      <c r="K319" s="3" t="b">
        <f ca="1"/>
        <v>0</v>
      </c>
      <c r="L319" s="3" t="b">
        <f ca="1"/>
        <v>0</v>
      </c>
      <c r="M319" t="b">
        <f ca="1"/>
        <v>0</v>
      </c>
      <c r="N319" t="b">
        <v>1</v>
      </c>
      <c r="O319" s="2"/>
    </row>
    <row r="320" spans="2:15" x14ac:dyDescent="0.2">
      <c r="B320" s="2">
        <v>45997</v>
      </c>
      <c r="C320" s="2" t="str">
        <f ca="1"/>
        <v>Not in scope</v>
      </c>
      <c r="D320" s="3">
        <v>6</v>
      </c>
      <c r="E320" s="3" t="b">
        <v>0</v>
      </c>
      <c r="F320" s="3" t="b">
        <v>0</v>
      </c>
      <c r="G320" s="3" t="b">
        <v>0</v>
      </c>
      <c r="H320" s="3" t="b">
        <v>0</v>
      </c>
      <c r="I320" s="3" t="b">
        <f ca="1"/>
        <v>0</v>
      </c>
      <c r="J320" s="3" t="str">
        <v>45997_ORIENTATION</v>
      </c>
      <c r="K320" s="3" t="b">
        <f ca="1"/>
        <v>0</v>
      </c>
      <c r="L320" s="3" t="b">
        <f ca="1"/>
        <v>0</v>
      </c>
      <c r="M320" t="b">
        <f ca="1"/>
        <v>0</v>
      </c>
      <c r="N320" t="b">
        <v>0</v>
      </c>
      <c r="O320" s="2"/>
    </row>
    <row r="321" spans="2:15" x14ac:dyDescent="0.2">
      <c r="B321" s="2">
        <v>45998</v>
      </c>
      <c r="C321" s="2" t="str">
        <f ca="1"/>
        <v>Not in scope</v>
      </c>
      <c r="D321" s="3">
        <v>7</v>
      </c>
      <c r="E321" s="3" t="b">
        <v>0</v>
      </c>
      <c r="F321" s="3" t="b">
        <v>0</v>
      </c>
      <c r="G321" s="3" t="b">
        <v>0</v>
      </c>
      <c r="H321" s="3" t="b">
        <v>0</v>
      </c>
      <c r="I321" s="3" t="b">
        <f ca="1"/>
        <v>0</v>
      </c>
      <c r="J321" s="3" t="str">
        <v>45998_ORIENTATION</v>
      </c>
      <c r="K321" s="3" t="b">
        <f ca="1"/>
        <v>0</v>
      </c>
      <c r="L321" s="3" t="b">
        <f ca="1"/>
        <v>0</v>
      </c>
      <c r="M321" t="b">
        <f ca="1"/>
        <v>0</v>
      </c>
      <c r="N321" t="b">
        <v>0</v>
      </c>
      <c r="O321" s="2"/>
    </row>
    <row r="322" spans="2:15" x14ac:dyDescent="0.2">
      <c r="B322" s="2">
        <v>45999</v>
      </c>
      <c r="C322" s="2" t="str">
        <f ca="1"/>
        <v>Not in scope</v>
      </c>
      <c r="D322" s="3">
        <v>1</v>
      </c>
      <c r="E322" s="3" t="b">
        <v>1</v>
      </c>
      <c r="F322" s="3" t="b">
        <v>0</v>
      </c>
      <c r="G322" s="3" t="b">
        <v>0</v>
      </c>
      <c r="H322" s="3" t="b">
        <v>0</v>
      </c>
      <c r="I322" s="3" t="b">
        <f ca="1"/>
        <v>0</v>
      </c>
      <c r="J322" s="3" t="str">
        <v>45999_ORIENTATION</v>
      </c>
      <c r="K322" s="3" t="b">
        <f ca="1"/>
        <v>0</v>
      </c>
      <c r="L322" s="3" t="b">
        <f ca="1"/>
        <v>0</v>
      </c>
      <c r="M322" t="b">
        <f ca="1"/>
        <v>0</v>
      </c>
      <c r="N322" t="b">
        <v>0</v>
      </c>
      <c r="O322" s="2"/>
    </row>
    <row r="323" spans="2:15" x14ac:dyDescent="0.2">
      <c r="B323" s="2">
        <v>46000</v>
      </c>
      <c r="C323" s="2" t="str">
        <f ca="1"/>
        <v>Not in scope</v>
      </c>
      <c r="D323" s="3">
        <v>2</v>
      </c>
      <c r="E323" s="3" t="b">
        <v>1</v>
      </c>
      <c r="F323" s="3" t="b">
        <v>0</v>
      </c>
      <c r="G323" s="3" t="b">
        <v>0</v>
      </c>
      <c r="H323" s="3" t="b">
        <v>0</v>
      </c>
      <c r="I323" s="3" t="b">
        <f ca="1"/>
        <v>0</v>
      </c>
      <c r="J323" s="3" t="str">
        <v>46000_ORIENTATION</v>
      </c>
      <c r="K323" s="3" t="b">
        <f ca="1"/>
        <v>0</v>
      </c>
      <c r="L323" s="3" t="b">
        <f ca="1"/>
        <v>0</v>
      </c>
      <c r="M323" t="b">
        <f ca="1"/>
        <v>0</v>
      </c>
      <c r="N323" t="b">
        <v>0</v>
      </c>
      <c r="O323" s="2"/>
    </row>
    <row r="324" spans="2:15" x14ac:dyDescent="0.2">
      <c r="B324" s="2">
        <v>46001</v>
      </c>
      <c r="C324" s="2" t="str">
        <f ca="1"/>
        <v>Not in scope</v>
      </c>
      <c r="D324" s="3">
        <v>3</v>
      </c>
      <c r="E324" s="3" t="b">
        <v>1</v>
      </c>
      <c r="F324" s="3" t="b">
        <v>0</v>
      </c>
      <c r="G324" s="3" t="b">
        <v>0</v>
      </c>
      <c r="H324" s="3" t="b">
        <v>0</v>
      </c>
      <c r="I324" s="3" t="b">
        <f ca="1"/>
        <v>0</v>
      </c>
      <c r="J324" s="3" t="str">
        <v>46001_ORIENTATION</v>
      </c>
      <c r="K324" s="3" t="b">
        <f ca="1"/>
        <v>0</v>
      </c>
      <c r="L324" s="3" t="b">
        <f ca="1"/>
        <v>0</v>
      </c>
      <c r="M324" t="b">
        <f ca="1"/>
        <v>0</v>
      </c>
      <c r="N324" t="b">
        <v>0</v>
      </c>
      <c r="O324" s="2"/>
    </row>
    <row r="325" spans="2:15" x14ac:dyDescent="0.2">
      <c r="B325" s="2">
        <v>46002</v>
      </c>
      <c r="C325" s="2" t="str">
        <f ca="1"/>
        <v>Not in scope</v>
      </c>
      <c r="D325" s="3">
        <v>4</v>
      </c>
      <c r="E325" s="3" t="b">
        <v>1</v>
      </c>
      <c r="F325" s="3" t="b">
        <v>0</v>
      </c>
      <c r="G325" s="3" t="b">
        <v>0</v>
      </c>
      <c r="H325" s="3" t="b">
        <v>0</v>
      </c>
      <c r="I325" s="3" t="b">
        <f ca="1"/>
        <v>0</v>
      </c>
      <c r="J325" s="3" t="str">
        <v>46002_ORIENTATION</v>
      </c>
      <c r="K325" s="3" t="b">
        <f ca="1"/>
        <v>0</v>
      </c>
      <c r="L325" s="3" t="b">
        <f ca="1"/>
        <v>0</v>
      </c>
      <c r="M325" t="b">
        <f ca="1"/>
        <v>0</v>
      </c>
      <c r="N325" t="b">
        <v>0</v>
      </c>
      <c r="O325" s="2"/>
    </row>
    <row r="326" spans="2:15" x14ac:dyDescent="0.2">
      <c r="B326" s="2">
        <v>46003</v>
      </c>
      <c r="C326" s="2" t="str">
        <f ca="1"/>
        <v>Jour semaine</v>
      </c>
      <c r="D326" s="3">
        <v>5</v>
      </c>
      <c r="E326" s="3" t="b">
        <v>1</v>
      </c>
      <c r="F326" s="3" t="b">
        <v>0</v>
      </c>
      <c r="G326" s="3" t="b">
        <v>0</v>
      </c>
      <c r="H326" s="3" t="b">
        <v>0</v>
      </c>
      <c r="I326" s="3" t="b">
        <f ca="1"/>
        <v>0</v>
      </c>
      <c r="J326" s="3" t="str">
        <v>46003_ORIENTATION</v>
      </c>
      <c r="K326" s="3" t="b">
        <f ca="1"/>
        <v>0</v>
      </c>
      <c r="L326" s="3" t="b">
        <f ca="1"/>
        <v>0</v>
      </c>
      <c r="M326" t="b">
        <f ca="1"/>
        <v>0</v>
      </c>
      <c r="N326" t="b">
        <v>1</v>
      </c>
      <c r="O326" s="2"/>
    </row>
    <row r="327" spans="2:15" x14ac:dyDescent="0.2">
      <c r="B327" s="2">
        <v>46004</v>
      </c>
      <c r="C327" s="2" t="str">
        <f ca="1"/>
        <v>Not in scope</v>
      </c>
      <c r="D327" s="3">
        <v>6</v>
      </c>
      <c r="E327" s="3" t="b">
        <v>0</v>
      </c>
      <c r="F327" s="3" t="b">
        <v>0</v>
      </c>
      <c r="G327" s="3" t="b">
        <v>0</v>
      </c>
      <c r="H327" s="3" t="b">
        <v>0</v>
      </c>
      <c r="I327" s="3" t="b">
        <f ca="1"/>
        <v>0</v>
      </c>
      <c r="J327" s="3" t="str">
        <v>46004_ORIENTATION</v>
      </c>
      <c r="K327" s="3" t="b">
        <f ca="1"/>
        <v>0</v>
      </c>
      <c r="L327" s="3" t="b">
        <f ca="1"/>
        <v>0</v>
      </c>
      <c r="M327" t="b">
        <f ca="1"/>
        <v>0</v>
      </c>
      <c r="N327" t="b">
        <v>0</v>
      </c>
      <c r="O327" s="2"/>
    </row>
    <row r="328" spans="2:15" x14ac:dyDescent="0.2">
      <c r="B328" s="2">
        <v>46005</v>
      </c>
      <c r="C328" s="2" t="str">
        <f ca="1"/>
        <v>Not in scope</v>
      </c>
      <c r="D328" s="3">
        <v>7</v>
      </c>
      <c r="E328" s="3" t="b">
        <v>0</v>
      </c>
      <c r="F328" s="3" t="b">
        <v>0</v>
      </c>
      <c r="G328" s="3" t="b">
        <v>0</v>
      </c>
      <c r="H328" s="3" t="b">
        <v>0</v>
      </c>
      <c r="I328" s="3" t="b">
        <f ca="1"/>
        <v>0</v>
      </c>
      <c r="J328" s="3" t="str">
        <v>46005_ORIENTATION</v>
      </c>
      <c r="K328" s="3" t="b">
        <f ca="1"/>
        <v>0</v>
      </c>
      <c r="L328" s="3" t="b">
        <f ca="1"/>
        <v>0</v>
      </c>
      <c r="M328" t="b">
        <f ca="1"/>
        <v>0</v>
      </c>
      <c r="N328" t="b">
        <v>0</v>
      </c>
      <c r="O328" s="2"/>
    </row>
    <row r="329" spans="2:15" x14ac:dyDescent="0.2">
      <c r="B329" s="2">
        <v>46006</v>
      </c>
      <c r="C329" s="2" t="str">
        <f ca="1"/>
        <v>Not in scope</v>
      </c>
      <c r="D329" s="3">
        <v>1</v>
      </c>
      <c r="E329" s="3" t="b">
        <v>1</v>
      </c>
      <c r="F329" s="3" t="b">
        <v>0</v>
      </c>
      <c r="G329" s="3" t="b">
        <v>0</v>
      </c>
      <c r="H329" s="3" t="b">
        <v>0</v>
      </c>
      <c r="I329" s="3" t="b">
        <f ca="1"/>
        <v>0</v>
      </c>
      <c r="J329" s="3" t="str">
        <v>46006_ORIENTATION</v>
      </c>
      <c r="K329" s="3" t="b">
        <f ca="1"/>
        <v>0</v>
      </c>
      <c r="L329" s="3" t="b">
        <f ca="1"/>
        <v>0</v>
      </c>
      <c r="M329" t="b">
        <f ca="1"/>
        <v>0</v>
      </c>
      <c r="N329" t="b">
        <v>0</v>
      </c>
      <c r="O329" s="2"/>
    </row>
    <row r="330" spans="2:15" x14ac:dyDescent="0.2">
      <c r="B330" s="2">
        <v>46007</v>
      </c>
      <c r="C330" s="2" t="str">
        <f ca="1"/>
        <v>Not in scope</v>
      </c>
      <c r="D330" s="3">
        <v>2</v>
      </c>
      <c r="E330" s="3" t="b">
        <v>1</v>
      </c>
      <c r="F330" s="3" t="b">
        <v>0</v>
      </c>
      <c r="G330" s="3" t="b">
        <v>0</v>
      </c>
      <c r="H330" s="3" t="b">
        <v>0</v>
      </c>
      <c r="I330" s="3" t="b">
        <f ca="1"/>
        <v>0</v>
      </c>
      <c r="J330" s="3" t="str">
        <v>46007_ORIENTATION</v>
      </c>
      <c r="K330" s="3" t="b">
        <f ca="1"/>
        <v>0</v>
      </c>
      <c r="L330" s="3" t="b">
        <f ca="1"/>
        <v>0</v>
      </c>
      <c r="M330" t="b">
        <f ca="1"/>
        <v>0</v>
      </c>
      <c r="N330" t="b">
        <v>0</v>
      </c>
      <c r="O330" s="2"/>
    </row>
    <row r="331" spans="2:15" x14ac:dyDescent="0.2">
      <c r="B331" s="2">
        <v>46008</v>
      </c>
      <c r="C331" s="2" t="str">
        <f ca="1"/>
        <v>Not in scope</v>
      </c>
      <c r="D331" s="3">
        <v>3</v>
      </c>
      <c r="E331" s="3" t="b">
        <v>1</v>
      </c>
      <c r="F331" s="3" t="b">
        <v>0</v>
      </c>
      <c r="G331" s="3" t="b">
        <v>0</v>
      </c>
      <c r="H331" s="3" t="b">
        <v>0</v>
      </c>
      <c r="I331" s="3" t="b">
        <f ca="1"/>
        <v>0</v>
      </c>
      <c r="J331" s="3" t="str">
        <v>46008_ORIENTATION</v>
      </c>
      <c r="K331" s="3" t="b">
        <f ca="1"/>
        <v>0</v>
      </c>
      <c r="L331" s="3" t="b">
        <f ca="1"/>
        <v>0</v>
      </c>
      <c r="M331" t="b">
        <f ca="1"/>
        <v>0</v>
      </c>
      <c r="N331" t="b">
        <v>0</v>
      </c>
      <c r="O331" s="2"/>
    </row>
    <row r="332" spans="2:15" x14ac:dyDescent="0.2">
      <c r="B332" s="2">
        <v>46009</v>
      </c>
      <c r="C332" s="2" t="str">
        <f ca="1"/>
        <v>Not in scope</v>
      </c>
      <c r="D332" s="3">
        <v>4</v>
      </c>
      <c r="E332" s="3" t="b">
        <v>1</v>
      </c>
      <c r="F332" s="3" t="b">
        <v>0</v>
      </c>
      <c r="G332" s="3" t="b">
        <v>0</v>
      </c>
      <c r="H332" s="3" t="b">
        <v>0</v>
      </c>
      <c r="I332" s="3" t="b">
        <f ca="1"/>
        <v>0</v>
      </c>
      <c r="J332" s="3" t="str">
        <v>46009_ORIENTATION</v>
      </c>
      <c r="K332" s="3" t="b">
        <f ca="1"/>
        <v>0</v>
      </c>
      <c r="L332" s="3" t="b">
        <f ca="1"/>
        <v>0</v>
      </c>
      <c r="M332" t="b">
        <f ca="1"/>
        <v>0</v>
      </c>
      <c r="N332" t="b">
        <v>0</v>
      </c>
      <c r="O332" s="2"/>
    </row>
    <row r="333" spans="2:15" x14ac:dyDescent="0.2">
      <c r="B333" s="2">
        <v>46010</v>
      </c>
      <c r="C333" s="2" t="str">
        <f ca="1"/>
        <v>Jour semaine</v>
      </c>
      <c r="D333" s="3">
        <v>5</v>
      </c>
      <c r="E333" s="3" t="b">
        <v>1</v>
      </c>
      <c r="F333" s="3" t="b">
        <v>0</v>
      </c>
      <c r="G333" s="3" t="b">
        <v>0</v>
      </c>
      <c r="H333" s="3" t="b">
        <v>0</v>
      </c>
      <c r="I333" s="3" t="b">
        <f ca="1"/>
        <v>0</v>
      </c>
      <c r="J333" s="3" t="str">
        <v>46010_ORIENTATION</v>
      </c>
      <c r="K333" s="3" t="b">
        <f ca="1"/>
        <v>0</v>
      </c>
      <c r="L333" s="3" t="b">
        <f ca="1"/>
        <v>0</v>
      </c>
      <c r="M333" t="b">
        <f ca="1"/>
        <v>0</v>
      </c>
      <c r="N333" t="b">
        <v>1</v>
      </c>
      <c r="O333" s="2"/>
    </row>
    <row r="334" spans="2:15" x14ac:dyDescent="0.2">
      <c r="B334" s="2">
        <v>46011</v>
      </c>
      <c r="C334" s="2" t="str">
        <f ca="1"/>
        <v>Not in scope</v>
      </c>
      <c r="D334" s="3">
        <v>6</v>
      </c>
      <c r="E334" s="3" t="b">
        <v>0</v>
      </c>
      <c r="F334" s="3" t="b">
        <v>0</v>
      </c>
      <c r="G334" s="3" t="b">
        <v>0</v>
      </c>
      <c r="H334" s="3" t="b">
        <v>0</v>
      </c>
      <c r="I334" s="3" t="b">
        <f ca="1"/>
        <v>0</v>
      </c>
      <c r="J334" s="3" t="str">
        <v>46011_ORIENTATION</v>
      </c>
      <c r="K334" s="3" t="b">
        <f ca="1"/>
        <v>0</v>
      </c>
      <c r="L334" s="3" t="b">
        <f ca="1"/>
        <v>0</v>
      </c>
      <c r="M334" t="b">
        <f ca="1"/>
        <v>0</v>
      </c>
      <c r="N334" t="b">
        <v>0</v>
      </c>
      <c r="O334" s="2"/>
    </row>
    <row r="335" spans="2:15" x14ac:dyDescent="0.2">
      <c r="B335" s="2">
        <v>46012</v>
      </c>
      <c r="C335" s="2" t="str">
        <f ca="1"/>
        <v>Not in scope</v>
      </c>
      <c r="D335" s="3">
        <v>7</v>
      </c>
      <c r="E335" s="3" t="b">
        <v>0</v>
      </c>
      <c r="F335" s="3" t="b">
        <v>0</v>
      </c>
      <c r="G335" s="3" t="b">
        <v>0</v>
      </c>
      <c r="H335" s="3" t="b">
        <v>0</v>
      </c>
      <c r="I335" s="3" t="b">
        <f ca="1"/>
        <v>0</v>
      </c>
      <c r="J335" s="3" t="str">
        <v>46012_ORIENTATION</v>
      </c>
      <c r="K335" s="3" t="b">
        <f ca="1"/>
        <v>0</v>
      </c>
      <c r="L335" s="3" t="b">
        <f ca="1"/>
        <v>0</v>
      </c>
      <c r="M335" t="b">
        <f ca="1"/>
        <v>0</v>
      </c>
      <c r="N335" t="b">
        <v>0</v>
      </c>
      <c r="O335" s="2"/>
    </row>
    <row r="336" spans="2:15" x14ac:dyDescent="0.2">
      <c r="B336" s="2">
        <v>46013</v>
      </c>
      <c r="C336" s="2" t="str">
        <f ca="1"/>
        <v>Not in scope</v>
      </c>
      <c r="D336" s="3">
        <v>1</v>
      </c>
      <c r="E336" s="3" t="b">
        <v>1</v>
      </c>
      <c r="F336" s="3" t="b">
        <v>0</v>
      </c>
      <c r="G336" s="3" t="b">
        <v>1</v>
      </c>
      <c r="H336" s="3" t="b">
        <v>0</v>
      </c>
      <c r="I336" s="3" t="b">
        <f ca="1"/>
        <v>1</v>
      </c>
      <c r="J336" s="3" t="str">
        <v>46013_ORIENTATION</v>
      </c>
      <c r="K336" s="3" t="b">
        <f ca="1"/>
        <v>0</v>
      </c>
      <c r="L336" s="3" t="b">
        <f ca="1"/>
        <v>0</v>
      </c>
      <c r="M336" t="b">
        <f ca="1"/>
        <v>0</v>
      </c>
      <c r="N336" t="b">
        <v>0</v>
      </c>
      <c r="O336" s="2"/>
    </row>
    <row r="337" spans="2:15" x14ac:dyDescent="0.2">
      <c r="B337" s="2">
        <v>46014</v>
      </c>
      <c r="C337" s="2" t="str">
        <f ca="1"/>
        <v>Not in scope</v>
      </c>
      <c r="D337" s="3">
        <v>2</v>
      </c>
      <c r="E337" s="3" t="b">
        <v>1</v>
      </c>
      <c r="F337" s="3" t="b">
        <v>0</v>
      </c>
      <c r="G337" s="3" t="b">
        <v>1</v>
      </c>
      <c r="H337" s="3" t="b">
        <v>0</v>
      </c>
      <c r="I337" s="3" t="b">
        <f ca="1"/>
        <v>1</v>
      </c>
      <c r="J337" s="3" t="str">
        <v>46014_ORIENTATION</v>
      </c>
      <c r="K337" s="3" t="b">
        <f ca="1"/>
        <v>0</v>
      </c>
      <c r="L337" s="3" t="b">
        <f ca="1"/>
        <v>0</v>
      </c>
      <c r="M337" t="b">
        <f ca="1"/>
        <v>0</v>
      </c>
      <c r="N337" t="b">
        <v>0</v>
      </c>
      <c r="O337" s="2"/>
    </row>
    <row r="338" spans="2:15" x14ac:dyDescent="0.2">
      <c r="B338" s="2">
        <v>46015</v>
      </c>
      <c r="C338" s="2" t="str">
        <f ca="1"/>
        <v>Not in scope</v>
      </c>
      <c r="D338" s="3">
        <v>3</v>
      </c>
      <c r="E338" s="3" t="b">
        <v>1</v>
      </c>
      <c r="F338" s="3" t="b">
        <v>0</v>
      </c>
      <c r="G338" s="3" t="b">
        <v>1</v>
      </c>
      <c r="H338" s="3" t="b">
        <v>0</v>
      </c>
      <c r="I338" s="3" t="b">
        <f ca="1"/>
        <v>0</v>
      </c>
      <c r="J338" s="3" t="str">
        <v>46015_ORIENTATION</v>
      </c>
      <c r="K338" s="3" t="b">
        <f ca="1"/>
        <v>0</v>
      </c>
      <c r="L338" s="3" t="b">
        <f ca="1"/>
        <v>0</v>
      </c>
      <c r="M338" t="b">
        <f ca="1"/>
        <v>0</v>
      </c>
      <c r="N338" t="b">
        <v>0</v>
      </c>
      <c r="O338" s="2"/>
    </row>
    <row r="339" spans="2:15" x14ac:dyDescent="0.2">
      <c r="B339" s="2">
        <v>46016</v>
      </c>
      <c r="C339" s="2" t="str">
        <f ca="1"/>
        <v>Not in scope</v>
      </c>
      <c r="D339" s="3">
        <v>4</v>
      </c>
      <c r="E339" s="3" t="b">
        <v>1</v>
      </c>
      <c r="F339" s="3" t="b">
        <v>1</v>
      </c>
      <c r="G339" s="3" t="b">
        <v>1</v>
      </c>
      <c r="H339" s="3" t="b">
        <v>0</v>
      </c>
      <c r="I339" s="3" t="b">
        <f ca="1"/>
        <v>0</v>
      </c>
      <c r="J339" s="3" t="str">
        <v>46016_ORIENTATION</v>
      </c>
      <c r="K339" s="3" t="b">
        <f ca="1"/>
        <v>0</v>
      </c>
      <c r="L339" s="3" t="b">
        <f ca="1"/>
        <v>0</v>
      </c>
      <c r="M339" t="b">
        <f ca="1"/>
        <v>0</v>
      </c>
      <c r="N339" t="b">
        <v>0</v>
      </c>
      <c r="O339" s="2"/>
    </row>
    <row r="340" spans="2:15" x14ac:dyDescent="0.2">
      <c r="B340" s="2">
        <v>46017</v>
      </c>
      <c r="C340" s="2" t="str">
        <f ca="1"/>
        <v>Jour semaine vacation hiver</v>
      </c>
      <c r="D340" s="3">
        <v>5</v>
      </c>
      <c r="E340" s="3" t="b">
        <v>1</v>
      </c>
      <c r="F340" s="3" t="b">
        <v>0</v>
      </c>
      <c r="G340" s="3" t="b">
        <v>1</v>
      </c>
      <c r="H340" s="3" t="b">
        <v>0</v>
      </c>
      <c r="I340" s="3" t="b">
        <f ca="1"/>
        <v>0</v>
      </c>
      <c r="J340" s="3" t="str">
        <v>46017_ORIENTATION</v>
      </c>
      <c r="K340" s="3" t="b">
        <f ca="1"/>
        <v>0</v>
      </c>
      <c r="L340" s="3" t="b">
        <f ca="1"/>
        <v>0</v>
      </c>
      <c r="M340" t="b">
        <f ca="1"/>
        <v>0</v>
      </c>
      <c r="N340" t="b">
        <v>1</v>
      </c>
      <c r="O340" s="2"/>
    </row>
    <row r="341" spans="2:15" x14ac:dyDescent="0.2">
      <c r="B341" s="2">
        <v>46018</v>
      </c>
      <c r="C341" s="2" t="str">
        <f ca="1"/>
        <v>Not in scope</v>
      </c>
      <c r="D341" s="3">
        <v>6</v>
      </c>
      <c r="E341" s="3" t="b">
        <v>0</v>
      </c>
      <c r="F341" s="3" t="b">
        <v>0</v>
      </c>
      <c r="G341" s="3" t="b">
        <v>1</v>
      </c>
      <c r="H341" s="3" t="b">
        <v>0</v>
      </c>
      <c r="I341" s="3" t="b">
        <f ca="1"/>
        <v>0</v>
      </c>
      <c r="J341" s="3" t="str">
        <v>46018_ORIENTATION</v>
      </c>
      <c r="K341" s="3" t="b">
        <f ca="1"/>
        <v>0</v>
      </c>
      <c r="L341" s="3" t="b">
        <f ca="1"/>
        <v>0</v>
      </c>
      <c r="M341" t="b">
        <f ca="1"/>
        <v>0</v>
      </c>
      <c r="N341" t="b">
        <v>0</v>
      </c>
      <c r="O341" s="2"/>
    </row>
    <row r="342" spans="2:15" x14ac:dyDescent="0.2">
      <c r="B342" s="2">
        <v>46019</v>
      </c>
      <c r="C342" s="2" t="str">
        <f ca="1"/>
        <v>Not in scope</v>
      </c>
      <c r="D342" s="3">
        <v>7</v>
      </c>
      <c r="E342" s="3" t="b">
        <v>0</v>
      </c>
      <c r="F342" s="3" t="b">
        <v>0</v>
      </c>
      <c r="G342" s="3" t="b">
        <v>1</v>
      </c>
      <c r="H342" s="3" t="b">
        <v>0</v>
      </c>
      <c r="I342" s="3" t="b">
        <f ca="1"/>
        <v>0</v>
      </c>
      <c r="J342" s="3" t="str">
        <v>46019_ORIENTATION</v>
      </c>
      <c r="K342" s="3" t="b">
        <f ca="1"/>
        <v>0</v>
      </c>
      <c r="L342" s="3" t="b">
        <f ca="1"/>
        <v>0</v>
      </c>
      <c r="M342" t="b">
        <f ca="1"/>
        <v>0</v>
      </c>
      <c r="N342" t="b">
        <v>0</v>
      </c>
      <c r="O342" s="2"/>
    </row>
    <row r="343" spans="2:15" x14ac:dyDescent="0.2">
      <c r="B343" s="2">
        <v>46020</v>
      </c>
      <c r="C343" s="2" t="str">
        <f ca="1"/>
        <v>Not in scope</v>
      </c>
      <c r="D343" s="3">
        <v>1</v>
      </c>
      <c r="E343" s="3" t="b">
        <v>1</v>
      </c>
      <c r="F343" s="3" t="b">
        <v>0</v>
      </c>
      <c r="G343" s="3" t="b">
        <v>1</v>
      </c>
      <c r="H343" s="3" t="b">
        <v>0</v>
      </c>
      <c r="I343" s="3" t="b">
        <f ca="1"/>
        <v>0</v>
      </c>
      <c r="J343" s="3" t="str">
        <v>46020_ORIENTATION</v>
      </c>
      <c r="K343" s="3" t="b">
        <f ca="1"/>
        <v>0</v>
      </c>
      <c r="L343" s="3" t="b">
        <f ca="1"/>
        <v>0</v>
      </c>
      <c r="M343" t="b">
        <f ca="1"/>
        <v>0</v>
      </c>
      <c r="N343" t="b">
        <v>0</v>
      </c>
      <c r="O343" s="2"/>
    </row>
    <row r="344" spans="2:15" x14ac:dyDescent="0.2">
      <c r="B344" s="2">
        <v>46021</v>
      </c>
      <c r="C344" s="2" t="str">
        <f ca="1"/>
        <v>Not in scope</v>
      </c>
      <c r="D344" s="3">
        <v>2</v>
      </c>
      <c r="E344" s="3" t="b">
        <v>1</v>
      </c>
      <c r="F344" s="3" t="b">
        <v>0</v>
      </c>
      <c r="G344" s="3" t="b">
        <v>1</v>
      </c>
      <c r="H344" s="3" t="b">
        <v>0</v>
      </c>
      <c r="I344" s="3" t="b">
        <f ca="1"/>
        <v>0</v>
      </c>
      <c r="J344" s="3" t="str">
        <v>46021_ORIENTATION</v>
      </c>
      <c r="K344" s="3" t="b">
        <f ca="1"/>
        <v>0</v>
      </c>
      <c r="L344" s="3" t="b">
        <f ca="1"/>
        <v>0</v>
      </c>
      <c r="M344" t="b">
        <f ca="1"/>
        <v>0</v>
      </c>
      <c r="N344" t="b">
        <v>0</v>
      </c>
      <c r="O344" s="2"/>
    </row>
    <row r="345" spans="2:15" x14ac:dyDescent="0.2">
      <c r="B345" s="2">
        <v>46022</v>
      </c>
      <c r="C345" s="2" t="str">
        <f ca="1"/>
        <v>Not in scope</v>
      </c>
      <c r="D345" s="3">
        <v>3</v>
      </c>
      <c r="E345" s="3" t="b">
        <v>1</v>
      </c>
      <c r="F345" s="3" t="b">
        <v>0</v>
      </c>
      <c r="G345" s="3" t="b">
        <v>1</v>
      </c>
      <c r="H345" s="3" t="b">
        <v>0</v>
      </c>
      <c r="I345" s="3" t="b">
        <f ca="1"/>
        <v>0</v>
      </c>
      <c r="J345" s="3" t="str">
        <v>46022_ORIENTATION</v>
      </c>
      <c r="K345" s="3" t="b">
        <f ca="1"/>
        <v>0</v>
      </c>
      <c r="L345" s="3" t="b">
        <f ca="1"/>
        <v>0</v>
      </c>
      <c r="M345" t="b">
        <f ca="1"/>
        <v>0</v>
      </c>
      <c r="N345" t="b">
        <v>0</v>
      </c>
      <c r="O345" s="2"/>
    </row>
    <row r="346" spans="2:15" x14ac:dyDescent="0.2">
      <c r="B346" s="2">
        <v>46023</v>
      </c>
      <c r="C346" s="2" t="str">
        <f ca="1"/>
        <v>Not in scope</v>
      </c>
      <c r="D346" s="3">
        <v>4</v>
      </c>
      <c r="E346" s="3" t="b">
        <v>1</v>
      </c>
      <c r="F346" s="3" t="b">
        <v>1</v>
      </c>
      <c r="G346" s="3" t="b">
        <v>1</v>
      </c>
      <c r="H346" s="3" t="b">
        <v>0</v>
      </c>
      <c r="I346" s="3" t="b">
        <f ca="1"/>
        <v>0</v>
      </c>
      <c r="J346" s="3" t="str">
        <v>46023_ORIENTATION</v>
      </c>
      <c r="K346" s="3" t="b">
        <f ca="1"/>
        <v>0</v>
      </c>
      <c r="L346" s="3" t="b">
        <f ca="1"/>
        <v>0</v>
      </c>
      <c r="M346" t="b">
        <f ca="1"/>
        <v>0</v>
      </c>
      <c r="N346" t="b">
        <v>0</v>
      </c>
      <c r="O346" s="2"/>
    </row>
    <row r="347" spans="2:15" x14ac:dyDescent="0.2">
      <c r="B347" s="2">
        <v>46024</v>
      </c>
      <c r="C347" s="2" t="str">
        <f ca="1"/>
        <v>Jour semaine vacation hiver</v>
      </c>
      <c r="D347" s="3">
        <v>5</v>
      </c>
      <c r="E347" s="3" t="b">
        <v>1</v>
      </c>
      <c r="F347" s="3" t="b">
        <v>0</v>
      </c>
      <c r="G347" s="3" t="b">
        <v>1</v>
      </c>
      <c r="H347" s="3" t="b">
        <v>0</v>
      </c>
      <c r="I347" s="3" t="b">
        <f ca="1"/>
        <v>0</v>
      </c>
      <c r="J347" s="3" t="str">
        <v>46024_ORIENTATION</v>
      </c>
      <c r="K347" s="3" t="b">
        <f ca="1"/>
        <v>0</v>
      </c>
      <c r="L347" s="3" t="b">
        <f ca="1"/>
        <v>0</v>
      </c>
      <c r="M347" t="b">
        <f ca="1"/>
        <v>0</v>
      </c>
      <c r="N347" t="b">
        <v>1</v>
      </c>
      <c r="O347" s="2"/>
    </row>
    <row r="348" spans="2:15" x14ac:dyDescent="0.2">
      <c r="B348" s="2">
        <v>46025</v>
      </c>
      <c r="C348" s="2" t="str">
        <f ca="1"/>
        <v>Not in scope</v>
      </c>
      <c r="D348" s="3">
        <v>6</v>
      </c>
      <c r="E348" s="3" t="b">
        <v>0</v>
      </c>
      <c r="F348" s="3" t="b">
        <v>0</v>
      </c>
      <c r="G348" s="3" t="b">
        <v>1</v>
      </c>
      <c r="H348" s="3" t="b">
        <v>0</v>
      </c>
      <c r="I348" s="3" t="b">
        <f ca="1"/>
        <v>0</v>
      </c>
      <c r="J348" s="3" t="str">
        <v>46025_ORIENTATION</v>
      </c>
      <c r="K348" s="3" t="b">
        <f ca="1"/>
        <v>0</v>
      </c>
      <c r="L348" s="3" t="b">
        <f ca="1"/>
        <v>0</v>
      </c>
      <c r="M348" t="b">
        <f ca="1"/>
        <v>0</v>
      </c>
      <c r="N348" t="b">
        <v>0</v>
      </c>
      <c r="O348" s="2"/>
    </row>
    <row r="349" spans="2:15" x14ac:dyDescent="0.2">
      <c r="B349" s="2">
        <v>46026</v>
      </c>
      <c r="C349" s="2" t="str">
        <f ca="1"/>
        <v>Not in scope</v>
      </c>
      <c r="D349" s="3">
        <v>7</v>
      </c>
      <c r="E349" s="3" t="b">
        <v>0</v>
      </c>
      <c r="F349" s="3" t="b">
        <v>0</v>
      </c>
      <c r="G349" s="3" t="b">
        <v>0</v>
      </c>
      <c r="H349" s="3" t="b">
        <v>0</v>
      </c>
      <c r="I349" s="3" t="b">
        <f ca="1"/>
        <v>0</v>
      </c>
      <c r="J349" s="3" t="str">
        <v>46026_ORIENTATION</v>
      </c>
      <c r="K349" s="3" t="b">
        <f ca="1"/>
        <v>0</v>
      </c>
      <c r="L349" s="3" t="b">
        <f ca="1"/>
        <v>0</v>
      </c>
      <c r="M349" t="b">
        <f ca="1"/>
        <v>0</v>
      </c>
      <c r="N349" t="b">
        <v>0</v>
      </c>
      <c r="O349" s="2"/>
    </row>
    <row r="350" spans="2:15" x14ac:dyDescent="0.2">
      <c r="B350" s="2">
        <v>46027</v>
      </c>
      <c r="C350" s="2" t="str">
        <f ca="1"/>
        <v>Not in scope</v>
      </c>
      <c r="D350" s="3">
        <v>1</v>
      </c>
      <c r="E350" s="3" t="b">
        <v>1</v>
      </c>
      <c r="F350" s="3" t="b">
        <v>0</v>
      </c>
      <c r="G350" s="3" t="b">
        <v>0</v>
      </c>
      <c r="H350" s="3" t="b">
        <v>0</v>
      </c>
      <c r="I350" s="3" t="b">
        <f ca="1"/>
        <v>0</v>
      </c>
      <c r="J350" s="3" t="str">
        <v>46027_ORIENTATION</v>
      </c>
      <c r="K350" s="3" t="b">
        <f ca="1"/>
        <v>0</v>
      </c>
      <c r="L350" s="3" t="b">
        <f ca="1"/>
        <v>0</v>
      </c>
      <c r="M350" t="b">
        <f ca="1"/>
        <v>0</v>
      </c>
      <c r="N350" t="b">
        <v>0</v>
      </c>
      <c r="O350" s="2"/>
    </row>
    <row r="351" spans="2:15" x14ac:dyDescent="0.2">
      <c r="B351" s="2">
        <v>46028</v>
      </c>
      <c r="C351" s="2" t="str">
        <f ca="1"/>
        <v>Not in scope</v>
      </c>
      <c r="D351" s="3">
        <v>2</v>
      </c>
      <c r="E351" s="3" t="b">
        <v>1</v>
      </c>
      <c r="F351" s="3" t="b">
        <v>0</v>
      </c>
      <c r="G351" s="3" t="b">
        <v>0</v>
      </c>
      <c r="H351" s="3" t="b">
        <v>0</v>
      </c>
      <c r="I351" s="3" t="b">
        <f ca="1"/>
        <v>0</v>
      </c>
      <c r="J351" s="3" t="str">
        <v>46028_ORIENTATION</v>
      </c>
      <c r="K351" s="3" t="b">
        <f ca="1"/>
        <v>0</v>
      </c>
      <c r="L351" s="3" t="b">
        <f ca="1"/>
        <v>0</v>
      </c>
      <c r="M351" t="b">
        <f ca="1"/>
        <v>0</v>
      </c>
      <c r="N351" t="b">
        <v>0</v>
      </c>
      <c r="O351" s="2"/>
    </row>
    <row r="352" spans="2:15" x14ac:dyDescent="0.2">
      <c r="B352" s="2">
        <v>46029</v>
      </c>
      <c r="C352" s="2" t="str">
        <f ca="1"/>
        <v>Not in scope</v>
      </c>
      <c r="D352" s="3">
        <v>3</v>
      </c>
      <c r="E352" s="3" t="b">
        <v>1</v>
      </c>
      <c r="F352" s="3" t="b">
        <v>0</v>
      </c>
      <c r="G352" s="3" t="b">
        <v>0</v>
      </c>
      <c r="H352" s="3" t="b">
        <v>0</v>
      </c>
      <c r="I352" s="3" t="b">
        <f ca="1"/>
        <v>0</v>
      </c>
      <c r="J352" s="3" t="str">
        <v>46029_ORIENTATION</v>
      </c>
      <c r="K352" s="3" t="b">
        <f ca="1"/>
        <v>0</v>
      </c>
      <c r="L352" s="3" t="b">
        <f ca="1"/>
        <v>0</v>
      </c>
      <c r="M352" t="b">
        <f ca="1"/>
        <v>0</v>
      </c>
      <c r="N352" t="b">
        <v>0</v>
      </c>
      <c r="O352" s="2"/>
    </row>
    <row r="353" spans="2:15" x14ac:dyDescent="0.2">
      <c r="B353" s="2">
        <v>46030</v>
      </c>
      <c r="C353" s="2" t="str">
        <f ca="1"/>
        <v>Not in scope</v>
      </c>
      <c r="D353" s="3">
        <v>4</v>
      </c>
      <c r="E353" s="3" t="b">
        <v>1</v>
      </c>
      <c r="F353" s="3" t="b">
        <v>0</v>
      </c>
      <c r="G353" s="3" t="b">
        <v>0</v>
      </c>
      <c r="H353" s="3" t="b">
        <v>0</v>
      </c>
      <c r="I353" s="3" t="b">
        <f ca="1"/>
        <v>0</v>
      </c>
      <c r="J353" s="3" t="str">
        <v>46030_ORIENTATION</v>
      </c>
      <c r="K353" s="3" t="b">
        <f ca="1"/>
        <v>0</v>
      </c>
      <c r="L353" s="3" t="b">
        <f ca="1"/>
        <v>0</v>
      </c>
      <c r="M353" t="b">
        <f ca="1"/>
        <v>0</v>
      </c>
      <c r="N353" t="b">
        <v>0</v>
      </c>
      <c r="O353" s="2"/>
    </row>
    <row r="354" spans="2:15" x14ac:dyDescent="0.2">
      <c r="B354" s="2">
        <v>46031</v>
      </c>
      <c r="C354" s="2" t="str">
        <f ca="1"/>
        <v>Jour semaine</v>
      </c>
      <c r="D354" s="3">
        <v>5</v>
      </c>
      <c r="E354" s="3" t="b">
        <v>1</v>
      </c>
      <c r="F354" s="3" t="b">
        <v>0</v>
      </c>
      <c r="G354" s="3" t="b">
        <v>0</v>
      </c>
      <c r="H354" s="3" t="b">
        <v>0</v>
      </c>
      <c r="I354" s="3" t="b">
        <f ca="1"/>
        <v>0</v>
      </c>
      <c r="J354" s="3" t="str">
        <v>46031_ORIENTATION</v>
      </c>
      <c r="K354" s="3" t="b">
        <f ca="1"/>
        <v>0</v>
      </c>
      <c r="L354" s="3" t="b">
        <f ca="1"/>
        <v>0</v>
      </c>
      <c r="M354" t="b">
        <f ca="1"/>
        <v>0</v>
      </c>
      <c r="N354" t="b">
        <v>1</v>
      </c>
      <c r="O354" s="2"/>
    </row>
    <row r="355" spans="2:15" x14ac:dyDescent="0.2">
      <c r="B355" s="2">
        <v>46032</v>
      </c>
      <c r="C355" s="2" t="str">
        <f ca="1"/>
        <v>Not in scope</v>
      </c>
      <c r="D355" s="3">
        <v>6</v>
      </c>
      <c r="E355" s="3" t="b">
        <v>0</v>
      </c>
      <c r="F355" s="3" t="b">
        <v>0</v>
      </c>
      <c r="G355" s="3" t="b">
        <v>0</v>
      </c>
      <c r="H355" s="3" t="b">
        <v>0</v>
      </c>
      <c r="I355" s="3" t="b">
        <f ca="1"/>
        <v>0</v>
      </c>
      <c r="J355" s="3" t="str">
        <v>46032_ORIENTATION</v>
      </c>
      <c r="K355" s="3" t="b">
        <f ca="1"/>
        <v>0</v>
      </c>
      <c r="L355" s="3" t="b">
        <f ca="1"/>
        <v>0</v>
      </c>
      <c r="M355" t="b">
        <f ca="1"/>
        <v>0</v>
      </c>
      <c r="N355" t="b">
        <v>0</v>
      </c>
      <c r="O355" s="2"/>
    </row>
    <row r="356" spans="2:15" x14ac:dyDescent="0.2">
      <c r="B356" s="2">
        <v>46033</v>
      </c>
      <c r="C356" s="2" t="str">
        <f ca="1"/>
        <v>Not in scope</v>
      </c>
      <c r="D356" s="3">
        <v>7</v>
      </c>
      <c r="E356" s="3" t="b">
        <v>0</v>
      </c>
      <c r="F356" s="3" t="b">
        <v>0</v>
      </c>
      <c r="G356" s="3" t="b">
        <v>0</v>
      </c>
      <c r="H356" s="3" t="b">
        <v>0</v>
      </c>
      <c r="I356" s="3" t="b">
        <f ca="1"/>
        <v>0</v>
      </c>
      <c r="J356" s="3" t="str">
        <v>46033_ORIENTATION</v>
      </c>
      <c r="K356" s="3" t="b">
        <f ca="1"/>
        <v>0</v>
      </c>
      <c r="L356" s="3" t="b">
        <f ca="1"/>
        <v>0</v>
      </c>
      <c r="M356" t="b">
        <f ca="1"/>
        <v>0</v>
      </c>
      <c r="N356" t="b">
        <v>0</v>
      </c>
      <c r="O356" s="2"/>
    </row>
    <row r="357" spans="2:15" x14ac:dyDescent="0.2">
      <c r="B357" s="2">
        <v>46034</v>
      </c>
      <c r="C357" s="2" t="str">
        <f ca="1"/>
        <v>Not in scope</v>
      </c>
      <c r="D357" s="3">
        <v>1</v>
      </c>
      <c r="E357" s="3" t="b">
        <v>1</v>
      </c>
      <c r="F357" s="3" t="b">
        <v>0</v>
      </c>
      <c r="G357" s="3" t="b">
        <v>0</v>
      </c>
      <c r="H357" s="3" t="b">
        <v>0</v>
      </c>
      <c r="I357" s="3" t="b">
        <f ca="1"/>
        <v>0</v>
      </c>
      <c r="J357" s="3" t="str">
        <v>46034_ORIENTATION</v>
      </c>
      <c r="K357" s="3" t="b">
        <f ca="1"/>
        <v>0</v>
      </c>
      <c r="L357" s="3" t="b">
        <f ca="1"/>
        <v>0</v>
      </c>
      <c r="M357" t="b">
        <f ca="1"/>
        <v>0</v>
      </c>
      <c r="N357" t="b">
        <v>0</v>
      </c>
      <c r="O357" s="2"/>
    </row>
    <row r="358" spans="2:15" x14ac:dyDescent="0.2">
      <c r="B358" s="2">
        <v>46035</v>
      </c>
      <c r="C358" s="2" t="str">
        <f ca="1"/>
        <v>Not in scope</v>
      </c>
      <c r="D358" s="3">
        <v>2</v>
      </c>
      <c r="E358" s="3" t="b">
        <v>1</v>
      </c>
      <c r="F358" s="3" t="b">
        <v>0</v>
      </c>
      <c r="G358" s="3" t="b">
        <v>0</v>
      </c>
      <c r="H358" s="3" t="b">
        <v>0</v>
      </c>
      <c r="I358" s="3" t="b">
        <f ca="1"/>
        <v>0</v>
      </c>
      <c r="J358" s="3" t="str">
        <v>46035_ORIENTATION</v>
      </c>
      <c r="K358" s="3" t="b">
        <f ca="1"/>
        <v>0</v>
      </c>
      <c r="L358" s="3" t="b">
        <f ca="1"/>
        <v>0</v>
      </c>
      <c r="M358" t="b">
        <f ca="1"/>
        <v>0</v>
      </c>
      <c r="N358" t="b">
        <v>0</v>
      </c>
      <c r="O358" s="2"/>
    </row>
    <row r="359" spans="2:15" x14ac:dyDescent="0.2">
      <c r="B359" s="2">
        <v>46036</v>
      </c>
      <c r="C359" s="2" t="str">
        <f ca="1"/>
        <v>Not in scope</v>
      </c>
      <c r="D359" s="3">
        <v>3</v>
      </c>
      <c r="E359" s="3" t="b">
        <v>1</v>
      </c>
      <c r="F359" s="3" t="b">
        <v>0</v>
      </c>
      <c r="G359" s="3" t="b">
        <v>0</v>
      </c>
      <c r="H359" s="3" t="b">
        <v>0</v>
      </c>
      <c r="I359" s="3" t="b">
        <f ca="1"/>
        <v>0</v>
      </c>
      <c r="J359" s="3" t="str">
        <v>46036_ORIENTATION</v>
      </c>
      <c r="K359" s="3" t="b">
        <f ca="1"/>
        <v>0</v>
      </c>
      <c r="L359" s="3" t="b">
        <f ca="1"/>
        <v>0</v>
      </c>
      <c r="M359" t="b">
        <f ca="1"/>
        <v>0</v>
      </c>
      <c r="N359" t="b">
        <v>0</v>
      </c>
      <c r="O359" s="2"/>
    </row>
    <row r="360" spans="2:15" x14ac:dyDescent="0.2">
      <c r="B360" s="2">
        <v>46037</v>
      </c>
      <c r="C360" s="2" t="str">
        <f ca="1"/>
        <v>Not in scope</v>
      </c>
      <c r="D360" s="3">
        <v>4</v>
      </c>
      <c r="E360" s="3" t="b">
        <v>1</v>
      </c>
      <c r="F360" s="3" t="b">
        <v>0</v>
      </c>
      <c r="G360" s="3" t="b">
        <v>0</v>
      </c>
      <c r="H360" s="3" t="b">
        <v>0</v>
      </c>
      <c r="I360" s="3" t="b">
        <f ca="1"/>
        <v>0</v>
      </c>
      <c r="J360" s="3" t="str">
        <v>46037_ORIENTATION</v>
      </c>
      <c r="K360" s="3" t="b">
        <f ca="1"/>
        <v>0</v>
      </c>
      <c r="L360" s="3" t="b">
        <f ca="1"/>
        <v>0</v>
      </c>
      <c r="M360" t="b">
        <f ca="1"/>
        <v>0</v>
      </c>
      <c r="N360" t="b">
        <v>0</v>
      </c>
      <c r="O360" s="2"/>
    </row>
    <row r="361" spans="2:15" x14ac:dyDescent="0.2">
      <c r="B361" s="2">
        <v>46038</v>
      </c>
      <c r="C361" s="2" t="str">
        <f ca="1"/>
        <v>Jour semaine</v>
      </c>
      <c r="D361" s="3">
        <v>5</v>
      </c>
      <c r="E361" s="3" t="b">
        <v>1</v>
      </c>
      <c r="F361" s="3" t="b">
        <v>0</v>
      </c>
      <c r="G361" s="3" t="b">
        <v>0</v>
      </c>
      <c r="H361" s="3" t="b">
        <v>0</v>
      </c>
      <c r="I361" s="3" t="b">
        <f ca="1"/>
        <v>0</v>
      </c>
      <c r="J361" s="3" t="str">
        <v>46038_ORIENTATION</v>
      </c>
      <c r="K361" s="3" t="b">
        <f ca="1"/>
        <v>0</v>
      </c>
      <c r="L361" s="3" t="b">
        <f ca="1"/>
        <v>0</v>
      </c>
      <c r="M361" t="b">
        <f ca="1"/>
        <v>0</v>
      </c>
      <c r="N361" t="b">
        <v>1</v>
      </c>
      <c r="O361" s="2"/>
    </row>
    <row r="362" spans="2:15" x14ac:dyDescent="0.2">
      <c r="B362" s="2">
        <v>46039</v>
      </c>
      <c r="C362" s="2" t="str">
        <f ca="1"/>
        <v>Not in scope</v>
      </c>
      <c r="D362" s="3">
        <v>6</v>
      </c>
      <c r="E362" s="3" t="b">
        <v>0</v>
      </c>
      <c r="F362" s="3" t="b">
        <v>0</v>
      </c>
      <c r="G362" s="3" t="b">
        <v>0</v>
      </c>
      <c r="H362" s="3" t="b">
        <v>0</v>
      </c>
      <c r="I362" s="3" t="b">
        <f ca="1"/>
        <v>0</v>
      </c>
      <c r="J362" s="3" t="str">
        <v>46039_ORIENTATION</v>
      </c>
      <c r="K362" s="3" t="b">
        <f ca="1"/>
        <v>0</v>
      </c>
      <c r="L362" s="3" t="b">
        <f ca="1"/>
        <v>0</v>
      </c>
      <c r="M362" t="b">
        <f ca="1"/>
        <v>0</v>
      </c>
      <c r="N362" t="b">
        <v>0</v>
      </c>
      <c r="O362" s="2"/>
    </row>
    <row r="363" spans="2:15" x14ac:dyDescent="0.2">
      <c r="B363" s="2">
        <v>46040</v>
      </c>
      <c r="C363" s="2" t="str">
        <f ca="1"/>
        <v>Not in scope</v>
      </c>
      <c r="D363" s="3">
        <v>7</v>
      </c>
      <c r="E363" s="3" t="b">
        <v>0</v>
      </c>
      <c r="F363" s="3" t="b">
        <v>0</v>
      </c>
      <c r="G363" s="3" t="b">
        <v>0</v>
      </c>
      <c r="H363" s="3" t="b">
        <v>0</v>
      </c>
      <c r="I363" s="3" t="b">
        <f ca="1"/>
        <v>0</v>
      </c>
      <c r="J363" s="3" t="str">
        <v>46040_ORIENTATION</v>
      </c>
      <c r="K363" s="3" t="b">
        <f ca="1"/>
        <v>0</v>
      </c>
      <c r="L363" s="3" t="b">
        <f ca="1"/>
        <v>0</v>
      </c>
      <c r="M363" t="b">
        <f ca="1"/>
        <v>0</v>
      </c>
      <c r="N363" t="b">
        <v>0</v>
      </c>
      <c r="O363" s="2"/>
    </row>
    <row r="364" spans="2:15" x14ac:dyDescent="0.2">
      <c r="B364" s="2">
        <v>46041</v>
      </c>
      <c r="C364" s="2" t="str">
        <f ca="1"/>
        <v>Not in scope</v>
      </c>
      <c r="D364" s="3">
        <v>1</v>
      </c>
      <c r="E364" s="3" t="b">
        <v>1</v>
      </c>
      <c r="F364" s="3" t="b">
        <v>0</v>
      </c>
      <c r="G364" s="3" t="b">
        <v>0</v>
      </c>
      <c r="H364" s="3" t="b">
        <v>0</v>
      </c>
      <c r="I364" s="3" t="b">
        <f ca="1"/>
        <v>0</v>
      </c>
      <c r="J364" s="3" t="str">
        <v>46041_ORIENTATION</v>
      </c>
      <c r="K364" s="3" t="b">
        <f ca="1"/>
        <v>0</v>
      </c>
      <c r="L364" s="3" t="b">
        <f ca="1"/>
        <v>0</v>
      </c>
      <c r="M364" t="b">
        <f ca="1"/>
        <v>0</v>
      </c>
      <c r="N364" t="b">
        <v>0</v>
      </c>
      <c r="O364" s="2"/>
    </row>
    <row r="365" spans="2:15" x14ac:dyDescent="0.2">
      <c r="B365" s="2">
        <v>46042</v>
      </c>
      <c r="C365" s="2" t="str">
        <f ca="1"/>
        <v>Not in scope</v>
      </c>
      <c r="D365" s="3">
        <v>2</v>
      </c>
      <c r="E365" s="3" t="b">
        <v>1</v>
      </c>
      <c r="F365" s="3" t="b">
        <v>0</v>
      </c>
      <c r="G365" s="3" t="b">
        <v>0</v>
      </c>
      <c r="H365" s="3" t="b">
        <v>0</v>
      </c>
      <c r="I365" s="3" t="b">
        <f ca="1"/>
        <v>0</v>
      </c>
      <c r="J365" s="3" t="str">
        <v>46042_ORIENTATION</v>
      </c>
      <c r="K365" s="3" t="b">
        <f ca="1"/>
        <v>0</v>
      </c>
      <c r="L365" s="3" t="b">
        <f ca="1"/>
        <v>0</v>
      </c>
      <c r="M365" t="b">
        <f ca="1"/>
        <v>0</v>
      </c>
      <c r="N365" t="b">
        <v>0</v>
      </c>
      <c r="O365" s="2"/>
    </row>
    <row r="366" spans="2:15" x14ac:dyDescent="0.2">
      <c r="B366" s="2">
        <v>46043</v>
      </c>
      <c r="C366" s="2" t="str">
        <f ca="1"/>
        <v>Not in scope</v>
      </c>
      <c r="D366" s="3">
        <v>3</v>
      </c>
      <c r="E366" s="3" t="b">
        <v>1</v>
      </c>
      <c r="F366" s="3" t="b">
        <v>0</v>
      </c>
      <c r="G366" s="3" t="b">
        <v>0</v>
      </c>
      <c r="H366" s="3" t="b">
        <v>0</v>
      </c>
      <c r="I366" s="3" t="b">
        <f ca="1"/>
        <v>0</v>
      </c>
      <c r="J366" s="3" t="str">
        <v>46043_ORIENTATION</v>
      </c>
      <c r="K366" s="3" t="b">
        <f ca="1"/>
        <v>0</v>
      </c>
      <c r="L366" s="3" t="b">
        <f ca="1"/>
        <v>0</v>
      </c>
      <c r="M366" t="b">
        <f ca="1"/>
        <v>0</v>
      </c>
      <c r="N366" t="b">
        <v>0</v>
      </c>
      <c r="O366" s="2"/>
    </row>
    <row r="367" spans="2:15" x14ac:dyDescent="0.2">
      <c r="B367" s="2">
        <v>46044</v>
      </c>
      <c r="C367" s="2" t="str">
        <f ca="1"/>
        <v>Not in scope</v>
      </c>
      <c r="D367" s="3">
        <v>4</v>
      </c>
      <c r="E367" s="3" t="b">
        <v>1</v>
      </c>
      <c r="F367" s="3" t="b">
        <v>0</v>
      </c>
      <c r="G367" s="3" t="b">
        <v>0</v>
      </c>
      <c r="H367" s="3" t="b">
        <v>0</v>
      </c>
      <c r="I367" s="3" t="b">
        <f ca="1"/>
        <v>0</v>
      </c>
      <c r="J367" s="3" t="str">
        <v>46044_ORIENTATION</v>
      </c>
      <c r="K367" s="3" t="b">
        <f ca="1"/>
        <v>0</v>
      </c>
      <c r="L367" s="3" t="b">
        <f ca="1"/>
        <v>0</v>
      </c>
      <c r="M367" t="b">
        <f ca="1"/>
        <v>0</v>
      </c>
      <c r="N367" t="b">
        <v>0</v>
      </c>
      <c r="O367" s="2"/>
    </row>
    <row r="368" spans="2:15" x14ac:dyDescent="0.2">
      <c r="B368" s="2">
        <v>46045</v>
      </c>
      <c r="C368" s="2" t="str">
        <f ca="1"/>
        <v>Jour semaine</v>
      </c>
      <c r="D368" s="3">
        <v>5</v>
      </c>
      <c r="E368" s="3" t="b">
        <v>1</v>
      </c>
      <c r="F368" s="3" t="b">
        <v>0</v>
      </c>
      <c r="G368" s="3" t="b">
        <v>0</v>
      </c>
      <c r="H368" s="3" t="b">
        <v>0</v>
      </c>
      <c r="I368" s="3" t="b">
        <f ca="1"/>
        <v>0</v>
      </c>
      <c r="J368" s="3" t="str">
        <v>46045_ORIENTATION</v>
      </c>
      <c r="K368" s="3" t="b">
        <f ca="1"/>
        <v>0</v>
      </c>
      <c r="L368" s="3" t="b">
        <f ca="1"/>
        <v>0</v>
      </c>
      <c r="M368" t="b">
        <f ca="1"/>
        <v>0</v>
      </c>
      <c r="N368" t="b">
        <v>1</v>
      </c>
      <c r="O368" s="2"/>
    </row>
    <row r="369" spans="2:15" x14ac:dyDescent="0.2">
      <c r="B369" s="2">
        <v>46046</v>
      </c>
      <c r="C369" s="2" t="str">
        <f ca="1"/>
        <v>Not in scope</v>
      </c>
      <c r="D369" s="3">
        <v>6</v>
      </c>
      <c r="E369" s="3" t="b">
        <v>0</v>
      </c>
      <c r="F369" s="3" t="b">
        <v>0</v>
      </c>
      <c r="G369" s="3" t="b">
        <v>0</v>
      </c>
      <c r="H369" s="3" t="b">
        <v>0</v>
      </c>
      <c r="I369" s="3" t="b">
        <f ca="1"/>
        <v>0</v>
      </c>
      <c r="J369" s="3" t="str">
        <v>46046_ORIENTATION</v>
      </c>
      <c r="K369" s="3" t="b">
        <f ca="1"/>
        <v>0</v>
      </c>
      <c r="L369" s="3" t="b">
        <f ca="1"/>
        <v>0</v>
      </c>
      <c r="M369" t="b">
        <f ca="1"/>
        <v>0</v>
      </c>
      <c r="N369" t="b">
        <v>0</v>
      </c>
      <c r="O369" s="2"/>
    </row>
    <row r="370" spans="2:15" x14ac:dyDescent="0.2">
      <c r="B370" s="2">
        <v>46047</v>
      </c>
      <c r="C370" s="2" t="str">
        <f ca="1"/>
        <v>Not in scope</v>
      </c>
      <c r="D370" s="3">
        <v>7</v>
      </c>
      <c r="E370" s="3" t="b">
        <v>0</v>
      </c>
      <c r="F370" s="3" t="b">
        <v>0</v>
      </c>
      <c r="G370" s="3" t="b">
        <v>0</v>
      </c>
      <c r="H370" s="3" t="b">
        <v>0</v>
      </c>
      <c r="I370" s="3" t="b">
        <f ca="1"/>
        <v>0</v>
      </c>
      <c r="J370" s="3" t="str">
        <v>46047_ORIENTATION</v>
      </c>
      <c r="K370" s="3" t="b">
        <f ca="1"/>
        <v>0</v>
      </c>
      <c r="L370" s="3" t="b">
        <f ca="1"/>
        <v>0</v>
      </c>
      <c r="M370" t="b">
        <f ca="1"/>
        <v>0</v>
      </c>
      <c r="N370" t="b">
        <v>0</v>
      </c>
      <c r="O370" s="2"/>
    </row>
    <row r="371" spans="2:15" x14ac:dyDescent="0.2">
      <c r="B371" s="2">
        <v>46048</v>
      </c>
      <c r="C371" s="2" t="str">
        <f ca="1"/>
        <v>Not in scope</v>
      </c>
      <c r="D371" s="3">
        <v>1</v>
      </c>
      <c r="E371" s="3" t="b">
        <v>1</v>
      </c>
      <c r="F371" s="3" t="b">
        <v>0</v>
      </c>
      <c r="G371" s="3" t="b">
        <v>0</v>
      </c>
      <c r="H371" s="3" t="b">
        <v>0</v>
      </c>
      <c r="I371" s="3" t="b">
        <f ca="1"/>
        <v>0</v>
      </c>
      <c r="J371" s="3" t="str">
        <v>46048_ORIENTATION</v>
      </c>
      <c r="K371" s="3" t="b">
        <f ca="1"/>
        <v>0</v>
      </c>
      <c r="L371" s="3" t="b">
        <f ca="1"/>
        <v>0</v>
      </c>
      <c r="M371" t="b">
        <f ca="1"/>
        <v>0</v>
      </c>
      <c r="N371" t="b">
        <v>0</v>
      </c>
      <c r="O371" s="2"/>
    </row>
    <row r="372" spans="2:15" x14ac:dyDescent="0.2">
      <c r="B372" s="2">
        <v>46049</v>
      </c>
      <c r="C372" s="2" t="str">
        <f ca="1"/>
        <v>Not in scope</v>
      </c>
      <c r="D372" s="3">
        <v>2</v>
      </c>
      <c r="E372" s="3" t="b">
        <v>1</v>
      </c>
      <c r="F372" s="3" t="b">
        <v>0</v>
      </c>
      <c r="G372" s="3" t="b">
        <v>0</v>
      </c>
      <c r="H372" s="3" t="b">
        <v>0</v>
      </c>
      <c r="I372" s="3" t="b">
        <f ca="1"/>
        <v>0</v>
      </c>
      <c r="J372" s="3" t="str">
        <v>46049_ORIENTATION</v>
      </c>
      <c r="K372" s="3" t="b">
        <f ca="1"/>
        <v>0</v>
      </c>
      <c r="L372" s="3" t="b">
        <f ca="1"/>
        <v>0</v>
      </c>
      <c r="M372" t="b">
        <f ca="1"/>
        <v>0</v>
      </c>
      <c r="N372" t="b">
        <v>0</v>
      </c>
      <c r="O372" s="2"/>
    </row>
    <row r="373" spans="2:15" x14ac:dyDescent="0.2">
      <c r="B373" s="2">
        <v>46050</v>
      </c>
      <c r="C373" s="2" t="str">
        <f ca="1"/>
        <v>Not in scope</v>
      </c>
      <c r="D373" s="3">
        <v>3</v>
      </c>
      <c r="E373" s="3" t="b">
        <v>1</v>
      </c>
      <c r="F373" s="3" t="b">
        <v>0</v>
      </c>
      <c r="G373" s="3" t="b">
        <v>0</v>
      </c>
      <c r="H373" s="3" t="b">
        <v>0</v>
      </c>
      <c r="I373" s="3" t="b">
        <f ca="1"/>
        <v>0</v>
      </c>
      <c r="J373" s="3" t="str">
        <v>46050_ORIENTATION</v>
      </c>
      <c r="K373" s="3" t="b">
        <f ca="1"/>
        <v>0</v>
      </c>
      <c r="L373" s="3" t="b">
        <f ca="1"/>
        <v>0</v>
      </c>
      <c r="M373" t="b">
        <f ca="1"/>
        <v>0</v>
      </c>
      <c r="N373" t="b">
        <v>0</v>
      </c>
      <c r="O373" s="2"/>
    </row>
    <row r="374" spans="2:15" x14ac:dyDescent="0.2">
      <c r="B374" s="2">
        <v>46051</v>
      </c>
      <c r="C374" s="2" t="str">
        <f ca="1"/>
        <v>Not in scope</v>
      </c>
      <c r="D374" s="3">
        <v>4</v>
      </c>
      <c r="E374" s="3" t="b">
        <v>1</v>
      </c>
      <c r="F374" s="3" t="b">
        <v>0</v>
      </c>
      <c r="G374" s="3" t="b">
        <v>0</v>
      </c>
      <c r="H374" s="3" t="b">
        <v>0</v>
      </c>
      <c r="I374" s="3" t="b">
        <f ca="1"/>
        <v>0</v>
      </c>
      <c r="J374" s="3" t="str">
        <v>46051_ORIENTATION</v>
      </c>
      <c r="K374" s="3" t="b">
        <f ca="1"/>
        <v>0</v>
      </c>
      <c r="L374" s="3" t="b">
        <f ca="1"/>
        <v>0</v>
      </c>
      <c r="M374" t="b">
        <f ca="1"/>
        <v>0</v>
      </c>
      <c r="N374" t="b">
        <v>0</v>
      </c>
      <c r="O374" s="2"/>
    </row>
    <row r="375" spans="2:15" x14ac:dyDescent="0.2">
      <c r="B375" s="2">
        <v>46052</v>
      </c>
      <c r="C375" s="2" t="str">
        <f ca="1"/>
        <v>Jour semaine</v>
      </c>
      <c r="D375" s="3">
        <v>5</v>
      </c>
      <c r="E375" s="3" t="b">
        <v>1</v>
      </c>
      <c r="F375" s="3" t="b">
        <v>0</v>
      </c>
      <c r="G375" s="3" t="b">
        <v>0</v>
      </c>
      <c r="H375" s="3" t="b">
        <v>0</v>
      </c>
      <c r="I375" s="3" t="b">
        <f ca="1"/>
        <v>0</v>
      </c>
      <c r="J375" s="3" t="str">
        <v>46052_ORIENTATION</v>
      </c>
      <c r="K375" s="3" t="b">
        <f ca="1"/>
        <v>0</v>
      </c>
      <c r="L375" s="3" t="b">
        <f ca="1"/>
        <v>0</v>
      </c>
      <c r="M375" t="b">
        <f ca="1"/>
        <v>0</v>
      </c>
      <c r="N375" t="b">
        <v>1</v>
      </c>
      <c r="O375" s="2"/>
    </row>
    <row r="376" spans="2:15" x14ac:dyDescent="0.2">
      <c r="B376" s="2">
        <v>46053</v>
      </c>
      <c r="C376" s="2" t="str">
        <f ca="1"/>
        <v>Not in scope</v>
      </c>
      <c r="D376" s="3">
        <v>6</v>
      </c>
      <c r="E376" s="3" t="b">
        <v>0</v>
      </c>
      <c r="F376" s="3" t="b">
        <v>0</v>
      </c>
      <c r="G376" s="3" t="b">
        <v>0</v>
      </c>
      <c r="H376" s="3" t="b">
        <v>0</v>
      </c>
      <c r="I376" s="3" t="b">
        <f ca="1"/>
        <v>0</v>
      </c>
      <c r="J376" s="3" t="str">
        <v>46053_ORIENTATION</v>
      </c>
      <c r="K376" s="3" t="b">
        <f ca="1"/>
        <v>0</v>
      </c>
      <c r="L376" s="3" t="b">
        <f ca="1"/>
        <v>0</v>
      </c>
      <c r="M376" t="b">
        <f ca="1"/>
        <v>0</v>
      </c>
      <c r="N376" t="b">
        <v>0</v>
      </c>
      <c r="O376" s="2"/>
    </row>
    <row r="377" spans="2:15" x14ac:dyDescent="0.2">
      <c r="B377" s="2"/>
      <c r="C377" s="2"/>
      <c r="D377" s="3"/>
      <c r="E377" s="3"/>
      <c r="F377" s="3"/>
      <c r="G377" s="3"/>
      <c r="H377" s="3"/>
      <c r="I377" s="3"/>
      <c r="J377" s="3"/>
      <c r="K377" s="3"/>
      <c r="L377" s="3"/>
      <c r="O377" s="2"/>
    </row>
    <row r="378" spans="2:15" x14ac:dyDescent="0.2">
      <c r="B378" s="2"/>
      <c r="C378" s="2"/>
      <c r="D378" s="3"/>
      <c r="E378" s="3"/>
      <c r="F378" s="3"/>
      <c r="G378" s="3"/>
      <c r="H378" s="3"/>
      <c r="I378" s="3"/>
      <c r="J378" s="3"/>
      <c r="K378" s="3"/>
      <c r="L378" s="3"/>
      <c r="O378" s="2"/>
    </row>
    <row r="379" spans="2:15" x14ac:dyDescent="0.2">
      <c r="B379" s="2"/>
      <c r="C379" s="2"/>
      <c r="D379" s="3"/>
      <c r="E379" s="3"/>
      <c r="F379" s="3"/>
      <c r="G379" s="3"/>
      <c r="H379" s="3"/>
      <c r="I379" s="3"/>
      <c r="J379" s="3"/>
      <c r="K379" s="3"/>
      <c r="L379" s="3"/>
      <c r="O379" s="2"/>
    </row>
    <row r="380" spans="2:15" x14ac:dyDescent="0.2">
      <c r="B380" s="2"/>
      <c r="C380" s="2"/>
      <c r="D380" s="3"/>
      <c r="E380" s="3"/>
      <c r="F380" s="3"/>
      <c r="G380" s="3"/>
      <c r="H380" s="3"/>
      <c r="I380" s="3"/>
      <c r="J380" s="3"/>
      <c r="K380" s="3"/>
      <c r="L380" s="3"/>
      <c r="O380" s="2"/>
    </row>
    <row r="381" spans="2:15" x14ac:dyDescent="0.2">
      <c r="B381" s="2"/>
      <c r="C381" s="2"/>
      <c r="D381" s="3"/>
      <c r="E381" s="3"/>
      <c r="F381" s="3"/>
      <c r="G381" s="3"/>
      <c r="H381" s="3"/>
      <c r="I381" s="3"/>
      <c r="J381" s="3"/>
      <c r="K381" s="3"/>
      <c r="L381" s="3"/>
      <c r="O381" s="2"/>
    </row>
    <row r="382" spans="2:15" x14ac:dyDescent="0.2">
      <c r="B382" s="2"/>
      <c r="C382" s="2"/>
      <c r="D382" s="3"/>
      <c r="E382" s="3"/>
      <c r="F382" s="3"/>
      <c r="G382" s="3"/>
      <c r="H382" s="3"/>
      <c r="I382" s="3"/>
      <c r="J382" s="3"/>
      <c r="K382" s="3"/>
      <c r="L382" s="3"/>
      <c r="O382" s="2"/>
    </row>
    <row r="383" spans="2:15" x14ac:dyDescent="0.2">
      <c r="B383" s="2"/>
      <c r="C383" s="2"/>
      <c r="D383" s="3"/>
      <c r="E383" s="3"/>
      <c r="F383" s="3"/>
      <c r="G383" s="3"/>
      <c r="H383" s="3"/>
      <c r="I383" s="3"/>
      <c r="J383" s="3"/>
      <c r="K383" s="3"/>
      <c r="L383" s="3"/>
      <c r="O383" s="2"/>
    </row>
    <row r="384" spans="2:15" x14ac:dyDescent="0.2">
      <c r="B384" s="2"/>
      <c r="C384" s="2"/>
      <c r="D384" s="3"/>
      <c r="E384" s="3"/>
      <c r="F384" s="3"/>
      <c r="G384" s="3"/>
      <c r="H384" s="3"/>
      <c r="I384" s="3"/>
      <c r="J384" s="3"/>
      <c r="K384" s="3"/>
      <c r="L384" s="3"/>
      <c r="O384" s="2"/>
    </row>
    <row r="385" spans="2:15" x14ac:dyDescent="0.2">
      <c r="B385" s="2"/>
      <c r="C385" s="2"/>
      <c r="D385" s="3"/>
      <c r="E385" s="3"/>
      <c r="F385" s="3"/>
      <c r="G385" s="3"/>
      <c r="H385" s="3"/>
      <c r="I385" s="3"/>
      <c r="J385" s="3"/>
      <c r="K385" s="3"/>
      <c r="L385" s="3"/>
      <c r="O385" s="2"/>
    </row>
    <row r="386" spans="2:15" x14ac:dyDescent="0.2">
      <c r="B386" s="2"/>
      <c r="C386" s="2"/>
      <c r="D386" s="3"/>
      <c r="E386" s="3"/>
      <c r="F386" s="3"/>
      <c r="G386" s="3"/>
      <c r="H386" s="3"/>
      <c r="I386" s="3"/>
      <c r="J386" s="3"/>
      <c r="K386" s="3"/>
      <c r="L386" s="3"/>
      <c r="O386" s="2"/>
    </row>
    <row r="387" spans="2:15" x14ac:dyDescent="0.2">
      <c r="B387" s="2"/>
      <c r="C387" s="2"/>
      <c r="D387" s="3"/>
      <c r="E387" s="3"/>
      <c r="F387" s="3"/>
      <c r="G387" s="3"/>
      <c r="H387" s="3"/>
      <c r="I387" s="3"/>
      <c r="J387" s="3"/>
      <c r="K387" s="3"/>
      <c r="L387" s="3"/>
      <c r="O387" s="2"/>
    </row>
    <row r="388" spans="2:15" x14ac:dyDescent="0.2">
      <c r="B388" s="2"/>
      <c r="C388" s="2"/>
      <c r="D388" s="3"/>
      <c r="E388" s="3"/>
      <c r="F388" s="3"/>
      <c r="G388" s="3"/>
      <c r="H388" s="3"/>
      <c r="I388" s="3"/>
      <c r="J388" s="3"/>
      <c r="K388" s="3"/>
      <c r="L388" s="3"/>
      <c r="O388" s="2"/>
    </row>
    <row r="389" spans="2:15" x14ac:dyDescent="0.2">
      <c r="B389" s="2"/>
      <c r="C389" s="2"/>
      <c r="D389" s="3"/>
      <c r="E389" s="3"/>
      <c r="F389" s="3"/>
      <c r="G389" s="3"/>
      <c r="H389" s="3"/>
      <c r="I389" s="3"/>
      <c r="J389" s="3"/>
      <c r="K389" s="3"/>
      <c r="L389" s="3"/>
      <c r="O389" s="2"/>
    </row>
    <row r="390" spans="2:15" x14ac:dyDescent="0.2">
      <c r="B390" s="2"/>
      <c r="C390" s="2"/>
      <c r="D390" s="3"/>
      <c r="E390" s="3"/>
      <c r="F390" s="3"/>
      <c r="G390" s="3"/>
      <c r="H390" s="3"/>
      <c r="I390" s="3"/>
      <c r="J390" s="3"/>
      <c r="K390" s="3"/>
      <c r="L390" s="3"/>
      <c r="O390" s="2"/>
    </row>
    <row r="391" spans="2:15" x14ac:dyDescent="0.2">
      <c r="B391" s="2"/>
      <c r="C391" s="2"/>
      <c r="D391" s="3"/>
      <c r="E391" s="3"/>
      <c r="F391" s="3"/>
      <c r="G391" s="3"/>
      <c r="H391" s="3"/>
      <c r="I391" s="3"/>
      <c r="J391" s="3"/>
      <c r="K391" s="3"/>
      <c r="L391" s="3"/>
      <c r="O391" s="2"/>
    </row>
    <row r="392" spans="2:15" x14ac:dyDescent="0.2">
      <c r="B392" s="2"/>
      <c r="C392" s="2"/>
      <c r="D392" s="3"/>
      <c r="E392" s="3"/>
      <c r="F392" s="3"/>
      <c r="G392" s="3"/>
      <c r="H392" s="3"/>
      <c r="I392" s="3"/>
      <c r="J392" s="3"/>
      <c r="K392" s="3"/>
      <c r="L392" s="3"/>
      <c r="O392" s="2"/>
    </row>
    <row r="393" spans="2:15" x14ac:dyDescent="0.2">
      <c r="B393" s="2"/>
      <c r="C393" s="2"/>
      <c r="D393" s="3"/>
      <c r="E393" s="3"/>
      <c r="F393" s="3"/>
      <c r="G393" s="3"/>
      <c r="H393" s="3"/>
      <c r="I393" s="3"/>
      <c r="J393" s="3"/>
      <c r="K393" s="3"/>
      <c r="L393" s="3"/>
      <c r="O393" s="2"/>
    </row>
    <row r="394" spans="2:15" x14ac:dyDescent="0.2">
      <c r="B394" s="2"/>
      <c r="C394" s="2"/>
      <c r="D394" s="3"/>
      <c r="E394" s="3"/>
      <c r="F394" s="3"/>
      <c r="G394" s="3"/>
      <c r="H394" s="3"/>
      <c r="I394" s="3"/>
      <c r="J394" s="3"/>
      <c r="K394" s="3"/>
      <c r="L394" s="3"/>
      <c r="O394" s="2"/>
    </row>
    <row r="395" spans="2:15" x14ac:dyDescent="0.2">
      <c r="B395" s="2"/>
      <c r="C395" s="2"/>
      <c r="D395" s="3"/>
      <c r="E395" s="3"/>
      <c r="F395" s="3"/>
      <c r="G395" s="3"/>
      <c r="H395" s="3"/>
      <c r="I395" s="3"/>
      <c r="J395" s="3"/>
      <c r="K395" s="3"/>
      <c r="L395" s="3"/>
      <c r="O395" s="2"/>
    </row>
    <row r="396" spans="2:15" x14ac:dyDescent="0.2">
      <c r="B396" s="2"/>
      <c r="C396" s="2"/>
      <c r="D396" s="3"/>
      <c r="E396" s="3"/>
      <c r="F396" s="3"/>
      <c r="G396" s="3"/>
      <c r="H396" s="3"/>
      <c r="I396" s="3"/>
      <c r="J396" s="3"/>
      <c r="K396" s="3"/>
      <c r="L396" s="3"/>
      <c r="O396" s="2"/>
    </row>
    <row r="397" spans="2:15" x14ac:dyDescent="0.2">
      <c r="B397" s="2"/>
      <c r="C397" s="2"/>
      <c r="D397" s="3"/>
      <c r="E397" s="3"/>
      <c r="F397" s="3"/>
      <c r="G397" s="3"/>
      <c r="H397" s="3"/>
      <c r="I397" s="3"/>
      <c r="J397" s="3"/>
      <c r="K397" s="3"/>
      <c r="L397" s="3"/>
      <c r="O397" s="2"/>
    </row>
    <row r="398" spans="2:15" x14ac:dyDescent="0.2">
      <c r="B398" s="2"/>
      <c r="C398" s="2"/>
      <c r="D398" s="3"/>
      <c r="E398" s="3"/>
      <c r="F398" s="3"/>
      <c r="G398" s="3"/>
      <c r="H398" s="3"/>
      <c r="I398" s="3"/>
      <c r="J398" s="3"/>
      <c r="K398" s="3"/>
      <c r="L398" s="3"/>
      <c r="O398" s="2"/>
    </row>
    <row r="399" spans="2:15" x14ac:dyDescent="0.2">
      <c r="B399" s="2"/>
      <c r="C399" s="2"/>
      <c r="D399" s="3"/>
      <c r="E399" s="3"/>
      <c r="F399" s="3"/>
      <c r="G399" s="3"/>
      <c r="H399" s="3"/>
      <c r="I399" s="3"/>
      <c r="J399" s="3"/>
      <c r="K399" s="3"/>
      <c r="L399" s="3"/>
      <c r="O399" s="2"/>
    </row>
    <row r="400" spans="2:15" x14ac:dyDescent="0.2">
      <c r="B400" s="2"/>
      <c r="C400" s="2"/>
      <c r="D400" s="3"/>
      <c r="E400" s="3"/>
      <c r="F400" s="3"/>
      <c r="G400" s="3"/>
      <c r="H400" s="3"/>
      <c r="I400" s="3"/>
      <c r="J400" s="3"/>
      <c r="K400" s="3"/>
      <c r="L400" s="3"/>
      <c r="O400" s="2"/>
    </row>
    <row r="401" spans="2:15" x14ac:dyDescent="0.2">
      <c r="B401" s="2"/>
      <c r="C401" s="2"/>
      <c r="D401" s="3"/>
      <c r="E401" s="3"/>
      <c r="F401" s="3"/>
      <c r="G401" s="3"/>
      <c r="H401" s="3"/>
      <c r="I401" s="3"/>
      <c r="J401" s="3"/>
      <c r="K401" s="3"/>
      <c r="L401" s="3"/>
      <c r="O401" s="2"/>
    </row>
    <row r="402" spans="2:15" x14ac:dyDescent="0.2">
      <c r="B402" s="2"/>
      <c r="C402" s="2"/>
      <c r="D402" s="3"/>
      <c r="E402" s="3"/>
      <c r="F402" s="3"/>
      <c r="G402" s="3"/>
      <c r="H402" s="3"/>
      <c r="I402" s="3"/>
      <c r="J402" s="3"/>
      <c r="K402" s="3"/>
      <c r="L402" s="3"/>
      <c r="O402" s="2"/>
    </row>
    <row r="403" spans="2:15" x14ac:dyDescent="0.2">
      <c r="B403" s="2"/>
      <c r="C403" s="2"/>
      <c r="D403" s="3"/>
      <c r="E403" s="3"/>
      <c r="F403" s="3"/>
      <c r="G403" s="3"/>
      <c r="H403" s="3"/>
      <c r="I403" s="3"/>
      <c r="J403" s="3"/>
      <c r="K403" s="3"/>
      <c r="L403" s="3"/>
      <c r="O403" s="2"/>
    </row>
    <row r="404" spans="2:15" x14ac:dyDescent="0.2">
      <c r="B404" s="2"/>
      <c r="C404" s="2"/>
      <c r="D404" s="3"/>
      <c r="E404" s="3"/>
      <c r="F404" s="3"/>
      <c r="G404" s="3"/>
      <c r="H404" s="3"/>
      <c r="I404" s="3"/>
      <c r="J404" s="3"/>
      <c r="K404" s="3"/>
      <c r="L404" s="3"/>
      <c r="O404" s="2"/>
    </row>
    <row r="405" spans="2:15" x14ac:dyDescent="0.2">
      <c r="B405" s="2"/>
      <c r="C405" s="2"/>
      <c r="D405" s="3"/>
      <c r="E405" s="3"/>
      <c r="F405" s="3"/>
      <c r="G405" s="3"/>
      <c r="H405" s="3"/>
      <c r="I405" s="3"/>
      <c r="J405" s="3"/>
      <c r="K405" s="3"/>
      <c r="L405" s="3"/>
      <c r="O405" s="2"/>
    </row>
    <row r="406" spans="2:15" x14ac:dyDescent="0.2">
      <c r="B406" s="2"/>
      <c r="C406" s="2"/>
      <c r="D406" s="3"/>
      <c r="E406" s="3"/>
      <c r="F406" s="3"/>
      <c r="G406" s="3"/>
      <c r="H406" s="3"/>
      <c r="I406" s="3"/>
      <c r="J406" s="3"/>
      <c r="K406" s="3"/>
      <c r="L406" s="3"/>
      <c r="O406" s="2"/>
    </row>
    <row r="407" spans="2:15" x14ac:dyDescent="0.2">
      <c r="B407" s="2"/>
      <c r="C407" s="2"/>
      <c r="D407" s="3"/>
      <c r="E407" s="3"/>
      <c r="F407" s="3"/>
      <c r="G407" s="3"/>
      <c r="H407" s="3"/>
      <c r="I407" s="3"/>
      <c r="J407" s="3"/>
      <c r="K407" s="3"/>
      <c r="L407" s="3"/>
      <c r="O407" s="2"/>
    </row>
    <row r="408" spans="2:15" x14ac:dyDescent="0.2">
      <c r="B408" s="2"/>
      <c r="C408" s="2"/>
      <c r="D408" s="3"/>
      <c r="E408" s="3"/>
      <c r="F408" s="3"/>
      <c r="G408" s="3"/>
      <c r="H408" s="3"/>
      <c r="I408" s="3"/>
      <c r="J408" s="3"/>
      <c r="K408" s="3"/>
      <c r="L408" s="3"/>
      <c r="O408" s="2"/>
    </row>
    <row r="409" spans="2:15" x14ac:dyDescent="0.2">
      <c r="C409" s="2"/>
      <c r="D409" s="3"/>
      <c r="E409" s="3"/>
      <c r="F409" s="3"/>
      <c r="G409" s="3"/>
      <c r="H409" s="3"/>
      <c r="I409" s="3"/>
      <c r="J409" s="3"/>
      <c r="K409" s="3"/>
      <c r="L409" s="3"/>
    </row>
    <row r="410" spans="2:15" x14ac:dyDescent="0.2">
      <c r="C410" s="2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</row>
    <row r="411" spans="2:15" x14ac:dyDescent="0.2">
      <c r="C411" s="2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</row>
    <row r="412" spans="2:15" x14ac:dyDescent="0.2">
      <c r="C412" s="2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</row>
    <row r="413" spans="2:15" x14ac:dyDescent="0.2">
      <c r="C413" s="2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</row>
    <row r="414" spans="2:15" x14ac:dyDescent="0.2">
      <c r="C414" s="2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</row>
    <row r="415" spans="2:15" x14ac:dyDescent="0.2">
      <c r="C415" s="2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</row>
    <row r="416" spans="2:15" x14ac:dyDescent="0.2">
      <c r="C416" s="2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</row>
    <row r="417" spans="3:14" x14ac:dyDescent="0.2">
      <c r="C417" s="2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</row>
    <row r="418" spans="3:14" x14ac:dyDescent="0.2">
      <c r="C418" s="2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</row>
    <row r="419" spans="3:14" x14ac:dyDescent="0.2">
      <c r="C419" s="2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</row>
    <row r="420" spans="3:14" x14ac:dyDescent="0.2">
      <c r="C420" s="2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</row>
    <row r="421" spans="3:14" x14ac:dyDescent="0.2">
      <c r="C421" s="2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</row>
    <row r="422" spans="3:14" x14ac:dyDescent="0.2">
      <c r="C422" s="2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</row>
    <row r="423" spans="3:14" x14ac:dyDescent="0.2">
      <c r="C423" s="2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</row>
    <row r="424" spans="3:14" x14ac:dyDescent="0.2">
      <c r="C424" s="2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</row>
    <row r="425" spans="3:14" x14ac:dyDescent="0.2">
      <c r="C425" s="2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</row>
    <row r="426" spans="3:14" x14ac:dyDescent="0.2">
      <c r="C426" s="2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</row>
    <row r="427" spans="3:14" x14ac:dyDescent="0.2">
      <c r="C427" s="2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</row>
    <row r="428" spans="3:14" x14ac:dyDescent="0.2">
      <c r="C428" s="2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</row>
    <row r="429" spans="3:14" x14ac:dyDescent="0.2">
      <c r="C429" s="2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</row>
    <row r="430" spans="3:14" x14ac:dyDescent="0.2">
      <c r="C430" s="2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</row>
    <row r="431" spans="3:14" x14ac:dyDescent="0.2">
      <c r="C431" s="2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</row>
    <row r="432" spans="3:14" x14ac:dyDescent="0.2">
      <c r="C432" s="2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</row>
    <row r="433" spans="3:14" x14ac:dyDescent="0.2">
      <c r="C433" s="2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</row>
    <row r="434" spans="3:14" x14ac:dyDescent="0.2">
      <c r="C434" s="2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</row>
    <row r="435" spans="3:14" x14ac:dyDescent="0.2">
      <c r="C435" s="2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</row>
    <row r="436" spans="3:14" x14ac:dyDescent="0.2">
      <c r="C436" s="2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</row>
    <row r="437" spans="3:14" x14ac:dyDescent="0.2">
      <c r="C437" s="2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</row>
    <row r="438" spans="3:14" x14ac:dyDescent="0.2">
      <c r="C438" s="2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</row>
    <row r="439" spans="3:14" x14ac:dyDescent="0.2">
      <c r="C439" s="2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</row>
    <row r="440" spans="3:14" x14ac:dyDescent="0.2">
      <c r="C440" s="2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</row>
    <row r="441" spans="3:14" x14ac:dyDescent="0.2">
      <c r="C441" s="2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</row>
    <row r="442" spans="3:14" x14ac:dyDescent="0.2">
      <c r="C442" s="2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</row>
    <row r="443" spans="3:14" x14ac:dyDescent="0.2">
      <c r="C443" s="2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</row>
    <row r="444" spans="3:14" x14ac:dyDescent="0.2">
      <c r="C444" s="2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</row>
    <row r="445" spans="3:14" x14ac:dyDescent="0.2">
      <c r="C445" s="2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</row>
    <row r="446" spans="3:14" x14ac:dyDescent="0.2">
      <c r="C446" s="2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</row>
    <row r="447" spans="3:14" x14ac:dyDescent="0.2">
      <c r="C447" s="2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</row>
    <row r="448" spans="3:14" x14ac:dyDescent="0.2">
      <c r="C448" s="2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</row>
    <row r="449" spans="3:14" x14ac:dyDescent="0.2">
      <c r="C449" s="2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</row>
    <row r="450" spans="3:14" x14ac:dyDescent="0.2">
      <c r="C450" s="2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</row>
    <row r="451" spans="3:14" x14ac:dyDescent="0.2">
      <c r="C451" s="2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</row>
    <row r="452" spans="3:14" x14ac:dyDescent="0.2">
      <c r="C452" s="2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</row>
    <row r="453" spans="3:14" x14ac:dyDescent="0.2">
      <c r="C453" s="2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</row>
    <row r="454" spans="3:14" x14ac:dyDescent="0.2">
      <c r="C454" s="2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</row>
    <row r="455" spans="3:14" x14ac:dyDescent="0.2">
      <c r="C455" s="2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</row>
    <row r="456" spans="3:14" x14ac:dyDescent="0.2">
      <c r="C456" s="2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</row>
    <row r="457" spans="3:14" x14ac:dyDescent="0.2">
      <c r="C457" s="2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</row>
    <row r="458" spans="3:14" x14ac:dyDescent="0.2">
      <c r="C458" s="2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</row>
    <row r="459" spans="3:14" x14ac:dyDescent="0.2">
      <c r="C459" s="2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</row>
    <row r="460" spans="3:14" x14ac:dyDescent="0.2">
      <c r="C460" s="2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</row>
    <row r="461" spans="3:14" x14ac:dyDescent="0.2">
      <c r="C461" s="2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</row>
    <row r="462" spans="3:14" x14ac:dyDescent="0.2">
      <c r="C462" s="2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</row>
    <row r="463" spans="3:14" x14ac:dyDescent="0.2">
      <c r="C463" s="2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</row>
    <row r="464" spans="3:14" x14ac:dyDescent="0.2">
      <c r="C464" s="2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</row>
    <row r="465" spans="3:14" x14ac:dyDescent="0.2">
      <c r="C465" s="2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</row>
    <row r="466" spans="3:14" x14ac:dyDescent="0.2">
      <c r="C466" s="2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</row>
    <row r="467" spans="3:14" x14ac:dyDescent="0.2">
      <c r="C467" s="2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</row>
    <row r="468" spans="3:14" x14ac:dyDescent="0.2">
      <c r="C468" s="2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</row>
    <row r="469" spans="3:14" x14ac:dyDescent="0.2">
      <c r="C469" s="2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</row>
    <row r="470" spans="3:14" x14ac:dyDescent="0.2">
      <c r="C470" s="2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</row>
    <row r="471" spans="3:14" x14ac:dyDescent="0.2">
      <c r="C471" s="2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</row>
    <row r="472" spans="3:14" x14ac:dyDescent="0.2">
      <c r="C472" s="2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</row>
    <row r="473" spans="3:14" x14ac:dyDescent="0.2">
      <c r="C473" s="2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</row>
    <row r="474" spans="3:14" x14ac:dyDescent="0.2">
      <c r="C474" s="2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</row>
    <row r="475" spans="3:14" x14ac:dyDescent="0.2">
      <c r="C475" s="2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</row>
    <row r="476" spans="3:14" x14ac:dyDescent="0.2">
      <c r="C476" s="2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</row>
    <row r="477" spans="3:14" x14ac:dyDescent="0.2">
      <c r="C477" s="2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</row>
    <row r="478" spans="3:14" x14ac:dyDescent="0.2">
      <c r="C478" s="2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</row>
    <row r="479" spans="3:14" x14ac:dyDescent="0.2">
      <c r="C479" s="2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</row>
    <row r="480" spans="3:14" x14ac:dyDescent="0.2">
      <c r="C480" s="2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</row>
    <row r="481" spans="3:14" x14ac:dyDescent="0.2">
      <c r="C481" s="2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</row>
    <row r="482" spans="3:14" x14ac:dyDescent="0.2">
      <c r="C482" s="2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</row>
    <row r="483" spans="3:14" x14ac:dyDescent="0.2">
      <c r="C483" s="2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</row>
    <row r="484" spans="3:14" x14ac:dyDescent="0.2">
      <c r="C484" s="2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</row>
    <row r="485" spans="3:14" x14ac:dyDescent="0.2">
      <c r="C485" s="2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</row>
    <row r="486" spans="3:14" x14ac:dyDescent="0.2">
      <c r="C486" s="2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</row>
    <row r="487" spans="3:14" x14ac:dyDescent="0.2">
      <c r="C487" s="2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</row>
    <row r="488" spans="3:14" x14ac:dyDescent="0.2">
      <c r="C488" s="2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</row>
    <row r="489" spans="3:14" x14ac:dyDescent="0.2">
      <c r="C489" s="2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</row>
    <row r="490" spans="3:14" x14ac:dyDescent="0.2">
      <c r="C490" s="2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</row>
    <row r="491" spans="3:14" x14ac:dyDescent="0.2">
      <c r="C491" s="2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</row>
    <row r="492" spans="3:14" x14ac:dyDescent="0.2">
      <c r="C492" s="2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</row>
    <row r="493" spans="3:14" x14ac:dyDescent="0.2">
      <c r="C493" s="2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</row>
    <row r="494" spans="3:14" x14ac:dyDescent="0.2">
      <c r="C494" s="2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</row>
    <row r="495" spans="3:14" x14ac:dyDescent="0.2">
      <c r="C495" s="2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</row>
    <row r="496" spans="3:14" x14ac:dyDescent="0.2">
      <c r="C496" s="2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</row>
    <row r="497" spans="3:14" x14ac:dyDescent="0.2">
      <c r="C497" s="2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</row>
    <row r="498" spans="3:14" x14ac:dyDescent="0.2">
      <c r="C498" s="2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</row>
    <row r="499" spans="3:14" x14ac:dyDescent="0.2">
      <c r="C499" s="2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</row>
    <row r="500" spans="3:14" x14ac:dyDescent="0.2">
      <c r="C500" s="2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</row>
    <row r="501" spans="3:14" x14ac:dyDescent="0.2">
      <c r="C501" s="2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</row>
    <row r="502" spans="3:14" x14ac:dyDescent="0.2">
      <c r="C502" s="2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</row>
    <row r="503" spans="3:14" x14ac:dyDescent="0.2">
      <c r="C503" s="2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</row>
    <row r="504" spans="3:14" x14ac:dyDescent="0.2">
      <c r="C504" s="2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</row>
    <row r="505" spans="3:14" x14ac:dyDescent="0.2">
      <c r="C505" s="2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</row>
    <row r="506" spans="3:14" x14ac:dyDescent="0.2">
      <c r="C506" s="2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</row>
    <row r="507" spans="3:14" x14ac:dyDescent="0.2">
      <c r="C507" s="2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</row>
    <row r="508" spans="3:14" x14ac:dyDescent="0.2">
      <c r="C508" s="2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</row>
    <row r="509" spans="3:14" x14ac:dyDescent="0.2">
      <c r="C509" s="2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</row>
    <row r="510" spans="3:14" x14ac:dyDescent="0.2">
      <c r="C510" s="2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</row>
    <row r="511" spans="3:14" x14ac:dyDescent="0.2">
      <c r="C511" s="2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</row>
    <row r="512" spans="3:14" x14ac:dyDescent="0.2">
      <c r="C512" s="2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</row>
    <row r="513" spans="3:14" x14ac:dyDescent="0.2">
      <c r="C513" s="2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</row>
    <row r="514" spans="3:14" x14ac:dyDescent="0.2">
      <c r="C514" s="2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</row>
    <row r="515" spans="3:14" x14ac:dyDescent="0.2">
      <c r="C515" s="2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</row>
    <row r="516" spans="3:14" x14ac:dyDescent="0.2">
      <c r="C516" s="2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</row>
    <row r="517" spans="3:14" x14ac:dyDescent="0.2">
      <c r="C517" s="2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</row>
    <row r="518" spans="3:14" x14ac:dyDescent="0.2">
      <c r="C518" s="2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</row>
    <row r="519" spans="3:14" x14ac:dyDescent="0.2">
      <c r="C519" s="2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</row>
    <row r="520" spans="3:14" x14ac:dyDescent="0.2">
      <c r="C520" s="2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</row>
    <row r="521" spans="3:14" x14ac:dyDescent="0.2">
      <c r="C521" s="2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</row>
    <row r="522" spans="3:14" x14ac:dyDescent="0.2">
      <c r="C522" s="2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</row>
    <row r="523" spans="3:14" x14ac:dyDescent="0.2">
      <c r="C523" s="2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</row>
    <row r="524" spans="3:14" x14ac:dyDescent="0.2">
      <c r="C524" s="2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</row>
    <row r="525" spans="3:14" x14ac:dyDescent="0.2">
      <c r="C525" s="2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</row>
    <row r="526" spans="3:14" x14ac:dyDescent="0.2">
      <c r="C526" s="2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</row>
    <row r="527" spans="3:14" x14ac:dyDescent="0.2">
      <c r="C527" s="2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</row>
    <row r="528" spans="3:14" x14ac:dyDescent="0.2">
      <c r="C528" s="2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</row>
    <row r="529" spans="3:14" x14ac:dyDescent="0.2">
      <c r="C529" s="2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</row>
    <row r="530" spans="3:14" x14ac:dyDescent="0.2">
      <c r="C530" s="2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</row>
    <row r="531" spans="3:14" x14ac:dyDescent="0.2">
      <c r="C531" s="2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</row>
    <row r="532" spans="3:14" x14ac:dyDescent="0.2">
      <c r="C532" s="2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</row>
    <row r="533" spans="3:14" x14ac:dyDescent="0.2">
      <c r="C533" s="2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</row>
    <row r="534" spans="3:14" x14ac:dyDescent="0.2">
      <c r="C534" s="2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</row>
    <row r="535" spans="3:14" x14ac:dyDescent="0.2">
      <c r="C535" s="2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</row>
    <row r="536" spans="3:14" x14ac:dyDescent="0.2">
      <c r="C536" s="2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</row>
    <row r="537" spans="3:14" x14ac:dyDescent="0.2">
      <c r="C537" s="2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</row>
    <row r="538" spans="3:14" x14ac:dyDescent="0.2">
      <c r="C538" s="2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</row>
    <row r="539" spans="3:14" x14ac:dyDescent="0.2">
      <c r="C539" s="2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</row>
    <row r="540" spans="3:14" x14ac:dyDescent="0.2">
      <c r="C540" s="2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</row>
    <row r="541" spans="3:14" x14ac:dyDescent="0.2">
      <c r="C541" s="2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</row>
    <row r="542" spans="3:14" x14ac:dyDescent="0.2">
      <c r="C542" s="2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</row>
    <row r="543" spans="3:14" x14ac:dyDescent="0.2">
      <c r="C543" s="2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</row>
    <row r="544" spans="3:14" x14ac:dyDescent="0.2">
      <c r="C544" s="2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</row>
    <row r="545" spans="3:14" x14ac:dyDescent="0.2">
      <c r="C545" s="2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</row>
    <row r="546" spans="3:14" x14ac:dyDescent="0.2">
      <c r="C546" s="2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</row>
    <row r="547" spans="3:14" x14ac:dyDescent="0.2">
      <c r="C547" s="2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</row>
    <row r="548" spans="3:14" x14ac:dyDescent="0.2">
      <c r="C548" s="2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</row>
    <row r="549" spans="3:14" x14ac:dyDescent="0.2">
      <c r="C549" s="2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</row>
    <row r="550" spans="3:14" x14ac:dyDescent="0.2">
      <c r="C550" s="2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</row>
    <row r="551" spans="3:14" x14ac:dyDescent="0.2">
      <c r="C551" s="2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</row>
    <row r="552" spans="3:14" x14ac:dyDescent="0.2">
      <c r="C552" s="2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</row>
    <row r="553" spans="3:14" x14ac:dyDescent="0.2">
      <c r="C553" s="2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</row>
    <row r="554" spans="3:14" x14ac:dyDescent="0.2">
      <c r="C554" s="2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</row>
    <row r="555" spans="3:14" x14ac:dyDescent="0.2">
      <c r="C555" s="2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</row>
    <row r="556" spans="3:14" x14ac:dyDescent="0.2">
      <c r="C556" s="2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</row>
    <row r="557" spans="3:14" x14ac:dyDescent="0.2">
      <c r="C557" s="2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</row>
    <row r="558" spans="3:14" x14ac:dyDescent="0.2">
      <c r="C558" s="2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</row>
    <row r="559" spans="3:14" x14ac:dyDescent="0.2">
      <c r="C559" s="2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</row>
    <row r="560" spans="3:14" x14ac:dyDescent="0.2">
      <c r="C560" s="2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</row>
    <row r="561" spans="3:14" x14ac:dyDescent="0.2">
      <c r="C561" s="2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</row>
    <row r="562" spans="3:14" x14ac:dyDescent="0.2">
      <c r="C562" s="2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</row>
    <row r="563" spans="3:14" x14ac:dyDescent="0.2">
      <c r="C563" s="2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</row>
    <row r="564" spans="3:14" x14ac:dyDescent="0.2">
      <c r="C564" s="2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</row>
    <row r="565" spans="3:14" x14ac:dyDescent="0.2">
      <c r="C565" s="2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</row>
    <row r="566" spans="3:14" x14ac:dyDescent="0.2">
      <c r="C566" s="2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</row>
    <row r="567" spans="3:14" x14ac:dyDescent="0.2">
      <c r="C567" s="2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</row>
    <row r="568" spans="3:14" x14ac:dyDescent="0.2">
      <c r="C568" s="2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</row>
    <row r="569" spans="3:14" x14ac:dyDescent="0.2">
      <c r="C569" s="2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</row>
    <row r="570" spans="3:14" x14ac:dyDescent="0.2">
      <c r="C570" s="2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</row>
    <row r="571" spans="3:14" x14ac:dyDescent="0.2">
      <c r="C571" s="2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</row>
    <row r="572" spans="3:14" x14ac:dyDescent="0.2">
      <c r="C572" s="2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</row>
    <row r="573" spans="3:14" x14ac:dyDescent="0.2">
      <c r="C573" s="2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</row>
    <row r="574" spans="3:14" x14ac:dyDescent="0.2">
      <c r="C574" s="2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</row>
    <row r="575" spans="3:14" x14ac:dyDescent="0.2">
      <c r="C575" s="2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</row>
    <row r="576" spans="3:14" x14ac:dyDescent="0.2">
      <c r="C576" s="2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</row>
    <row r="577" spans="3:14" x14ac:dyDescent="0.2">
      <c r="C577" s="2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</row>
    <row r="578" spans="3:14" x14ac:dyDescent="0.2">
      <c r="C578" s="2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</row>
    <row r="579" spans="3:14" x14ac:dyDescent="0.2">
      <c r="C579" s="2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</row>
    <row r="580" spans="3:14" x14ac:dyDescent="0.2">
      <c r="C580" s="2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</row>
    <row r="581" spans="3:14" x14ac:dyDescent="0.2">
      <c r="C581" s="2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</row>
    <row r="582" spans="3:14" x14ac:dyDescent="0.2">
      <c r="C582" s="2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</row>
    <row r="583" spans="3:14" x14ac:dyDescent="0.2">
      <c r="C583" s="2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</row>
    <row r="584" spans="3:14" x14ac:dyDescent="0.2">
      <c r="C584" s="2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</row>
    <row r="585" spans="3:14" x14ac:dyDescent="0.2">
      <c r="C585" s="2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</row>
    <row r="586" spans="3:14" x14ac:dyDescent="0.2">
      <c r="C586" s="2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</row>
    <row r="587" spans="3:14" x14ac:dyDescent="0.2">
      <c r="C587" s="2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</row>
    <row r="588" spans="3:14" x14ac:dyDescent="0.2">
      <c r="C588" s="2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</row>
    <row r="589" spans="3:14" x14ac:dyDescent="0.2">
      <c r="C589" s="2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</row>
    <row r="590" spans="3:14" x14ac:dyDescent="0.2">
      <c r="C590" s="2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</row>
    <row r="591" spans="3:14" x14ac:dyDescent="0.2">
      <c r="C591" s="2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</row>
    <row r="592" spans="3:14" x14ac:dyDescent="0.2">
      <c r="C592" s="2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</row>
    <row r="593" spans="3:14" x14ac:dyDescent="0.2">
      <c r="C593" s="2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</row>
    <row r="594" spans="3:14" x14ac:dyDescent="0.2">
      <c r="C594" s="2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</row>
    <row r="595" spans="3:14" x14ac:dyDescent="0.2">
      <c r="C595" s="2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</row>
    <row r="596" spans="3:14" x14ac:dyDescent="0.2">
      <c r="C596" s="2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</row>
    <row r="597" spans="3:14" x14ac:dyDescent="0.2">
      <c r="C597" s="2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</row>
    <row r="598" spans="3:14" x14ac:dyDescent="0.2">
      <c r="C598" s="2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</row>
    <row r="599" spans="3:14" x14ac:dyDescent="0.2">
      <c r="C599" s="2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</row>
    <row r="600" spans="3:14" x14ac:dyDescent="0.2">
      <c r="C600" s="2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</row>
    <row r="601" spans="3:14" x14ac:dyDescent="0.2">
      <c r="C601" s="2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</row>
    <row r="602" spans="3:14" x14ac:dyDescent="0.2">
      <c r="C602" s="2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</row>
    <row r="603" spans="3:14" x14ac:dyDescent="0.2">
      <c r="C603" s="2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</row>
    <row r="604" spans="3:14" x14ac:dyDescent="0.2">
      <c r="C604" s="2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</row>
    <row r="605" spans="3:14" x14ac:dyDescent="0.2">
      <c r="C605" s="2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</row>
    <row r="606" spans="3:14" x14ac:dyDescent="0.2">
      <c r="C606" s="2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</row>
    <row r="607" spans="3:14" x14ac:dyDescent="0.2">
      <c r="C607" s="2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</row>
    <row r="608" spans="3:14" x14ac:dyDescent="0.2">
      <c r="C608" s="2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</row>
    <row r="609" spans="3:14" x14ac:dyDescent="0.2">
      <c r="C609" s="2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</row>
    <row r="610" spans="3:14" x14ac:dyDescent="0.2">
      <c r="C610" s="2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</row>
    <row r="611" spans="3:14" x14ac:dyDescent="0.2">
      <c r="C611" s="2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</row>
    <row r="612" spans="3:14" x14ac:dyDescent="0.2">
      <c r="C612" s="2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</row>
    <row r="613" spans="3:14" x14ac:dyDescent="0.2">
      <c r="C613" s="2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</row>
    <row r="614" spans="3:14" x14ac:dyDescent="0.2">
      <c r="C614" s="2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</row>
    <row r="615" spans="3:14" x14ac:dyDescent="0.2">
      <c r="C615" s="2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</row>
    <row r="616" spans="3:14" x14ac:dyDescent="0.2">
      <c r="C616" s="2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</row>
    <row r="617" spans="3:14" x14ac:dyDescent="0.2">
      <c r="C617" s="2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</row>
    <row r="618" spans="3:14" x14ac:dyDescent="0.2">
      <c r="C618" s="2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</row>
    <row r="619" spans="3:14" x14ac:dyDescent="0.2">
      <c r="C619" s="2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</row>
    <row r="620" spans="3:14" x14ac:dyDescent="0.2">
      <c r="C620" s="2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</row>
    <row r="621" spans="3:14" x14ac:dyDescent="0.2">
      <c r="C621" s="2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</row>
    <row r="622" spans="3:14" x14ac:dyDescent="0.2">
      <c r="C622" s="2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</row>
    <row r="623" spans="3:14" x14ac:dyDescent="0.2">
      <c r="C623" s="2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</row>
    <row r="624" spans="3:14" x14ac:dyDescent="0.2">
      <c r="C624" s="2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</row>
    <row r="625" spans="3:14" x14ac:dyDescent="0.2">
      <c r="C625" s="2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</row>
    <row r="626" spans="3:14" x14ac:dyDescent="0.2">
      <c r="C626" s="2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</row>
    <row r="627" spans="3:14" x14ac:dyDescent="0.2">
      <c r="C627" s="2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</row>
    <row r="628" spans="3:14" x14ac:dyDescent="0.2">
      <c r="C628" s="2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</row>
    <row r="629" spans="3:14" x14ac:dyDescent="0.2">
      <c r="C629" s="2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</row>
    <row r="630" spans="3:14" x14ac:dyDescent="0.2">
      <c r="C630" s="2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</row>
    <row r="631" spans="3:14" x14ac:dyDescent="0.2">
      <c r="C631" s="2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</row>
    <row r="632" spans="3:14" x14ac:dyDescent="0.2">
      <c r="C632" s="2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</row>
    <row r="633" spans="3:14" x14ac:dyDescent="0.2">
      <c r="C633" s="2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</row>
    <row r="634" spans="3:14" x14ac:dyDescent="0.2">
      <c r="C634" s="2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</row>
    <row r="635" spans="3:14" x14ac:dyDescent="0.2">
      <c r="C635" s="2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</row>
    <row r="636" spans="3:14" x14ac:dyDescent="0.2">
      <c r="C636" s="2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</row>
    <row r="637" spans="3:14" x14ac:dyDescent="0.2">
      <c r="C637" s="2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</row>
    <row r="638" spans="3:14" x14ac:dyDescent="0.2">
      <c r="C638" s="2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</row>
    <row r="639" spans="3:14" x14ac:dyDescent="0.2">
      <c r="C639" s="2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</row>
    <row r="640" spans="3:14" x14ac:dyDescent="0.2">
      <c r="C640" s="2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</row>
    <row r="641" spans="3:14" x14ac:dyDescent="0.2">
      <c r="C641" s="2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</row>
    <row r="642" spans="3:14" x14ac:dyDescent="0.2">
      <c r="C642" s="2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</row>
    <row r="643" spans="3:14" x14ac:dyDescent="0.2">
      <c r="C643" s="2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</row>
    <row r="644" spans="3:14" x14ac:dyDescent="0.2">
      <c r="C644" s="2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</row>
    <row r="645" spans="3:14" x14ac:dyDescent="0.2">
      <c r="C645" s="2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</row>
    <row r="646" spans="3:14" x14ac:dyDescent="0.2">
      <c r="C646" s="2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</row>
    <row r="647" spans="3:14" x14ac:dyDescent="0.2">
      <c r="C647" s="2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</row>
    <row r="648" spans="3:14" x14ac:dyDescent="0.2">
      <c r="C648" s="2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</row>
    <row r="649" spans="3:14" x14ac:dyDescent="0.2">
      <c r="C649" s="2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</row>
    <row r="650" spans="3:14" x14ac:dyDescent="0.2">
      <c r="C650" s="2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</row>
    <row r="651" spans="3:14" x14ac:dyDescent="0.2">
      <c r="C651" s="2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</row>
    <row r="652" spans="3:14" x14ac:dyDescent="0.2">
      <c r="C652" s="2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</row>
    <row r="653" spans="3:14" x14ac:dyDescent="0.2">
      <c r="C653" s="2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</row>
    <row r="654" spans="3:14" x14ac:dyDescent="0.2">
      <c r="C654" s="2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</row>
    <row r="655" spans="3:14" x14ac:dyDescent="0.2">
      <c r="C655" s="2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</row>
    <row r="656" spans="3:14" x14ac:dyDescent="0.2">
      <c r="C656" s="2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</row>
    <row r="657" spans="3:14" x14ac:dyDescent="0.2">
      <c r="C657" s="2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</row>
    <row r="658" spans="3:14" x14ac:dyDescent="0.2">
      <c r="C658" s="2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</row>
    <row r="659" spans="3:14" x14ac:dyDescent="0.2">
      <c r="C659" s="2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</row>
    <row r="660" spans="3:14" x14ac:dyDescent="0.2">
      <c r="C660" s="2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</row>
    <row r="661" spans="3:14" x14ac:dyDescent="0.2">
      <c r="C661" s="2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</row>
    <row r="662" spans="3:14" x14ac:dyDescent="0.2">
      <c r="C662" s="2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</row>
    <row r="663" spans="3:14" x14ac:dyDescent="0.2">
      <c r="C663" s="2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</row>
    <row r="664" spans="3:14" x14ac:dyDescent="0.2">
      <c r="C664" s="2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</row>
    <row r="665" spans="3:14" x14ac:dyDescent="0.2">
      <c r="C665" s="2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</row>
    <row r="666" spans="3:14" x14ac:dyDescent="0.2">
      <c r="C666" s="2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</row>
    <row r="667" spans="3:14" x14ac:dyDescent="0.2">
      <c r="C667" s="2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</row>
    <row r="668" spans="3:14" x14ac:dyDescent="0.2">
      <c r="C668" s="2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</row>
    <row r="669" spans="3:14" x14ac:dyDescent="0.2">
      <c r="C669" s="2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</row>
    <row r="670" spans="3:14" x14ac:dyDescent="0.2">
      <c r="C670" s="2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</row>
    <row r="671" spans="3:14" x14ac:dyDescent="0.2">
      <c r="C671" s="2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</row>
    <row r="672" spans="3:14" x14ac:dyDescent="0.2">
      <c r="C672" s="2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</row>
    <row r="673" spans="3:14" x14ac:dyDescent="0.2">
      <c r="C673" s="2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</row>
    <row r="674" spans="3:14" x14ac:dyDescent="0.2">
      <c r="C674" s="2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</row>
    <row r="675" spans="3:14" x14ac:dyDescent="0.2">
      <c r="C675" s="2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</row>
    <row r="676" spans="3:14" x14ac:dyDescent="0.2">
      <c r="C676" s="2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</row>
    <row r="677" spans="3:14" x14ac:dyDescent="0.2">
      <c r="C677" s="2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</row>
    <row r="678" spans="3:14" x14ac:dyDescent="0.2">
      <c r="C678" s="2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</row>
    <row r="679" spans="3:14" x14ac:dyDescent="0.2">
      <c r="C679" s="2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</row>
    <row r="680" spans="3:14" x14ac:dyDescent="0.2">
      <c r="C680" s="2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</row>
    <row r="681" spans="3:14" x14ac:dyDescent="0.2">
      <c r="C681" s="2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</row>
    <row r="682" spans="3:14" x14ac:dyDescent="0.2">
      <c r="C682" s="2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</row>
    <row r="683" spans="3:14" x14ac:dyDescent="0.2">
      <c r="C683" s="2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</row>
    <row r="684" spans="3:14" x14ac:dyDescent="0.2">
      <c r="C684" s="2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</row>
    <row r="685" spans="3:14" x14ac:dyDescent="0.2">
      <c r="C685" s="2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</row>
    <row r="686" spans="3:14" x14ac:dyDescent="0.2">
      <c r="C686" s="2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</row>
    <row r="687" spans="3:14" x14ac:dyDescent="0.2">
      <c r="C687" s="2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</row>
    <row r="688" spans="3:14" x14ac:dyDescent="0.2">
      <c r="C688" s="2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</row>
    <row r="689" spans="3:14" x14ac:dyDescent="0.2">
      <c r="C689" s="2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</row>
    <row r="690" spans="3:14" x14ac:dyDescent="0.2">
      <c r="C690" s="2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</row>
    <row r="691" spans="3:14" x14ac:dyDescent="0.2">
      <c r="C691" s="2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</row>
    <row r="692" spans="3:14" x14ac:dyDescent="0.2">
      <c r="C692" s="2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</row>
    <row r="693" spans="3:14" x14ac:dyDescent="0.2">
      <c r="C693" s="2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</row>
    <row r="694" spans="3:14" x14ac:dyDescent="0.2">
      <c r="C694" s="2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</row>
    <row r="695" spans="3:14" x14ac:dyDescent="0.2">
      <c r="C695" s="2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</row>
    <row r="696" spans="3:14" x14ac:dyDescent="0.2">
      <c r="C696" s="2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</row>
    <row r="697" spans="3:14" x14ac:dyDescent="0.2">
      <c r="C697" s="2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</row>
    <row r="698" spans="3:14" x14ac:dyDescent="0.2">
      <c r="C698" s="2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</row>
    <row r="699" spans="3:14" x14ac:dyDescent="0.2">
      <c r="C699" s="2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</row>
    <row r="700" spans="3:14" x14ac:dyDescent="0.2">
      <c r="C700" s="2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</row>
    <row r="701" spans="3:14" x14ac:dyDescent="0.2">
      <c r="C701" s="2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</row>
    <row r="702" spans="3:14" x14ac:dyDescent="0.2">
      <c r="C702" s="2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</row>
    <row r="703" spans="3:14" x14ac:dyDescent="0.2">
      <c r="C703" s="2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</row>
    <row r="704" spans="3:14" x14ac:dyDescent="0.2">
      <c r="C704" s="2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</row>
    <row r="705" spans="3:14" x14ac:dyDescent="0.2">
      <c r="C705" s="2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</row>
    <row r="706" spans="3:14" x14ac:dyDescent="0.2">
      <c r="C706" s="2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</row>
    <row r="707" spans="3:14" x14ac:dyDescent="0.2">
      <c r="C707" s="2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</row>
    <row r="708" spans="3:14" x14ac:dyDescent="0.2">
      <c r="C708" s="2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</row>
    <row r="709" spans="3:14" x14ac:dyDescent="0.2">
      <c r="C709" s="2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</row>
    <row r="710" spans="3:14" x14ac:dyDescent="0.2">
      <c r="C710" s="2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</row>
    <row r="711" spans="3:14" x14ac:dyDescent="0.2">
      <c r="C711" s="2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</row>
    <row r="712" spans="3:14" x14ac:dyDescent="0.2">
      <c r="C712" s="2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</row>
    <row r="713" spans="3:14" x14ac:dyDescent="0.2">
      <c r="C713" s="2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</row>
    <row r="714" spans="3:14" x14ac:dyDescent="0.2">
      <c r="C714" s="2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</row>
    <row r="715" spans="3:14" x14ac:dyDescent="0.2">
      <c r="C715" s="2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</row>
    <row r="716" spans="3:14" x14ac:dyDescent="0.2">
      <c r="C716" s="2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</row>
    <row r="717" spans="3:14" x14ac:dyDescent="0.2">
      <c r="C717" s="2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</row>
    <row r="718" spans="3:14" x14ac:dyDescent="0.2">
      <c r="C718" s="2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</row>
    <row r="719" spans="3:14" x14ac:dyDescent="0.2">
      <c r="C719" s="2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</row>
    <row r="720" spans="3:14" x14ac:dyDescent="0.2">
      <c r="C720" s="2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</row>
    <row r="721" spans="3:14" x14ac:dyDescent="0.2">
      <c r="C721" s="2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</row>
    <row r="722" spans="3:14" x14ac:dyDescent="0.2">
      <c r="C722" s="2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</row>
    <row r="723" spans="3:14" x14ac:dyDescent="0.2">
      <c r="C723" s="2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</row>
    <row r="724" spans="3:14" x14ac:dyDescent="0.2">
      <c r="C724" s="2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</row>
    <row r="725" spans="3:14" x14ac:dyDescent="0.2">
      <c r="C725" s="2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</row>
    <row r="726" spans="3:14" x14ac:dyDescent="0.2">
      <c r="C726" s="2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</row>
    <row r="727" spans="3:14" x14ac:dyDescent="0.2">
      <c r="C727" s="2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</row>
    <row r="728" spans="3:14" x14ac:dyDescent="0.2">
      <c r="C728" s="2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</row>
    <row r="729" spans="3:14" x14ac:dyDescent="0.2">
      <c r="C729" s="2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</row>
    <row r="730" spans="3:14" x14ac:dyDescent="0.2">
      <c r="C730" s="2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</row>
    <row r="731" spans="3:14" x14ac:dyDescent="0.2">
      <c r="C731" s="2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</row>
    <row r="732" spans="3:14" x14ac:dyDescent="0.2">
      <c r="C732" s="2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</row>
    <row r="733" spans="3:14" x14ac:dyDescent="0.2">
      <c r="C733" s="2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</row>
    <row r="734" spans="3:14" x14ac:dyDescent="0.2">
      <c r="C734" s="2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</row>
    <row r="735" spans="3:14" x14ac:dyDescent="0.2">
      <c r="C735" s="2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</row>
    <row r="736" spans="3:14" x14ac:dyDescent="0.2">
      <c r="C736" s="2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</row>
    <row r="737" spans="3:14" x14ac:dyDescent="0.2">
      <c r="C737" s="2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</row>
    <row r="738" spans="3:14" x14ac:dyDescent="0.2">
      <c r="C738" s="2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</row>
    <row r="739" spans="3:14" x14ac:dyDescent="0.2">
      <c r="C739" s="2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</row>
    <row r="740" spans="3:14" x14ac:dyDescent="0.2">
      <c r="C740" s="2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</row>
    <row r="741" spans="3:14" x14ac:dyDescent="0.2">
      <c r="C741" s="2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</row>
    <row r="742" spans="3:14" x14ac:dyDescent="0.2">
      <c r="C742" s="2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</row>
    <row r="743" spans="3:14" x14ac:dyDescent="0.2">
      <c r="C743" s="2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</row>
    <row r="744" spans="3:14" x14ac:dyDescent="0.2">
      <c r="C744" s="2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</row>
    <row r="745" spans="3:14" x14ac:dyDescent="0.2">
      <c r="C745" s="2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</row>
    <row r="746" spans="3:14" x14ac:dyDescent="0.2">
      <c r="C746" s="2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</row>
    <row r="747" spans="3:14" x14ac:dyDescent="0.2">
      <c r="C747" s="2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</row>
    <row r="748" spans="3:14" x14ac:dyDescent="0.2">
      <c r="C748" s="2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</row>
    <row r="749" spans="3:14" x14ac:dyDescent="0.2">
      <c r="C749" s="2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</row>
    <row r="750" spans="3:14" x14ac:dyDescent="0.2">
      <c r="C750" s="2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</row>
    <row r="751" spans="3:14" x14ac:dyDescent="0.2">
      <c r="C751" s="2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</row>
    <row r="752" spans="3:14" x14ac:dyDescent="0.2">
      <c r="C752" s="2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</row>
    <row r="753" spans="3:14" x14ac:dyDescent="0.2">
      <c r="C753" s="2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</row>
    <row r="754" spans="3:14" x14ac:dyDescent="0.2">
      <c r="C754" s="2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</row>
    <row r="755" spans="3:14" x14ac:dyDescent="0.2">
      <c r="C755" s="2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</row>
    <row r="756" spans="3:14" x14ac:dyDescent="0.2">
      <c r="C756" s="2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</row>
    <row r="757" spans="3:14" x14ac:dyDescent="0.2">
      <c r="C757" s="2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</row>
    <row r="758" spans="3:14" x14ac:dyDescent="0.2">
      <c r="C758" s="2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</row>
    <row r="759" spans="3:14" x14ac:dyDescent="0.2">
      <c r="C759" s="2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</row>
    <row r="760" spans="3:14" x14ac:dyDescent="0.2">
      <c r="C760" s="2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</row>
    <row r="761" spans="3:14" x14ac:dyDescent="0.2">
      <c r="C761" s="2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</row>
    <row r="762" spans="3:14" x14ac:dyDescent="0.2">
      <c r="C762" s="2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</row>
    <row r="763" spans="3:14" x14ac:dyDescent="0.2">
      <c r="C763" s="2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</row>
    <row r="764" spans="3:14" x14ac:dyDescent="0.2">
      <c r="C764" s="2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</row>
    <row r="765" spans="3:14" x14ac:dyDescent="0.2">
      <c r="C765" s="2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</row>
    <row r="766" spans="3:14" x14ac:dyDescent="0.2">
      <c r="C766" s="2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</row>
    <row r="767" spans="3:14" x14ac:dyDescent="0.2">
      <c r="C767" s="2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</row>
    <row r="768" spans="3:14" x14ac:dyDescent="0.2">
      <c r="C768" s="2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</row>
    <row r="769" spans="3:14" x14ac:dyDescent="0.2">
      <c r="C769" s="2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</row>
    <row r="770" spans="3:14" x14ac:dyDescent="0.2">
      <c r="C770" s="2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</row>
    <row r="771" spans="3:14" x14ac:dyDescent="0.2">
      <c r="C771" s="2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</row>
    <row r="772" spans="3:14" x14ac:dyDescent="0.2">
      <c r="C772" s="2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</row>
    <row r="773" spans="3:14" x14ac:dyDescent="0.2">
      <c r="C773" s="2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</row>
    <row r="774" spans="3:14" x14ac:dyDescent="0.2">
      <c r="C774" s="2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</row>
    <row r="775" spans="3:14" x14ac:dyDescent="0.2">
      <c r="C775" s="2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</row>
    <row r="776" spans="3:14" x14ac:dyDescent="0.2">
      <c r="C776" s="2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</row>
    <row r="777" spans="3:14" x14ac:dyDescent="0.2">
      <c r="C777" s="2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</row>
    <row r="778" spans="3:14" x14ac:dyDescent="0.2">
      <c r="C778" s="2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</row>
    <row r="779" spans="3:14" x14ac:dyDescent="0.2">
      <c r="C779" s="2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</row>
    <row r="780" spans="3:14" x14ac:dyDescent="0.2">
      <c r="C780" s="2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</row>
    <row r="781" spans="3:14" x14ac:dyDescent="0.2">
      <c r="C781" s="2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</row>
    <row r="782" spans="3:14" x14ac:dyDescent="0.2">
      <c r="C782" s="2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</row>
    <row r="783" spans="3:14" x14ac:dyDescent="0.2">
      <c r="C783" s="2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</row>
    <row r="784" spans="3:14" x14ac:dyDescent="0.2">
      <c r="C784" s="2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</row>
    <row r="785" spans="3:14" x14ac:dyDescent="0.2">
      <c r="C785" s="2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</row>
    <row r="786" spans="3:14" x14ac:dyDescent="0.2">
      <c r="C786" s="2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</row>
    <row r="787" spans="3:14" x14ac:dyDescent="0.2">
      <c r="C787" s="2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</row>
    <row r="788" spans="3:14" x14ac:dyDescent="0.2">
      <c r="C788" s="2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</row>
    <row r="789" spans="3:14" x14ac:dyDescent="0.2">
      <c r="C789" s="2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</row>
    <row r="790" spans="3:14" x14ac:dyDescent="0.2">
      <c r="C790" s="2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</row>
    <row r="791" spans="3:14" x14ac:dyDescent="0.2">
      <c r="C791" s="2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</row>
    <row r="792" spans="3:14" x14ac:dyDescent="0.2">
      <c r="C792" s="2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</row>
    <row r="793" spans="3:14" x14ac:dyDescent="0.2">
      <c r="C793" s="2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</row>
    <row r="794" spans="3:14" x14ac:dyDescent="0.2">
      <c r="C794" s="2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</row>
    <row r="795" spans="3:14" x14ac:dyDescent="0.2">
      <c r="C795" s="2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</row>
    <row r="796" spans="3:14" x14ac:dyDescent="0.2">
      <c r="C796" s="2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</row>
    <row r="797" spans="3:14" x14ac:dyDescent="0.2">
      <c r="C797" s="2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</row>
    <row r="798" spans="3:14" x14ac:dyDescent="0.2">
      <c r="C798" s="2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</row>
    <row r="799" spans="3:14" x14ac:dyDescent="0.2">
      <c r="C799" s="2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</row>
    <row r="800" spans="3:14" x14ac:dyDescent="0.2">
      <c r="C800" s="2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</row>
    <row r="801" spans="3:14" x14ac:dyDescent="0.2">
      <c r="C801" s="2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</row>
    <row r="802" spans="3:14" x14ac:dyDescent="0.2">
      <c r="C802" s="2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</row>
    <row r="803" spans="3:14" x14ac:dyDescent="0.2">
      <c r="C803" s="2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</row>
    <row r="804" spans="3:14" x14ac:dyDescent="0.2">
      <c r="C804" s="2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</row>
    <row r="805" spans="3:14" x14ac:dyDescent="0.2">
      <c r="C805" s="2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</row>
    <row r="806" spans="3:14" x14ac:dyDescent="0.2">
      <c r="C806" s="2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</row>
    <row r="807" spans="3:14" x14ac:dyDescent="0.2">
      <c r="C807" s="2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</row>
    <row r="808" spans="3:14" x14ac:dyDescent="0.2">
      <c r="C808" s="2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</row>
    <row r="809" spans="3:14" x14ac:dyDescent="0.2">
      <c r="C809" s="2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</row>
    <row r="810" spans="3:14" x14ac:dyDescent="0.2">
      <c r="C810" s="2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</row>
    <row r="811" spans="3:14" x14ac:dyDescent="0.2">
      <c r="C811" s="2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</row>
    <row r="812" spans="3:14" x14ac:dyDescent="0.2">
      <c r="C812" s="2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</row>
    <row r="813" spans="3:14" x14ac:dyDescent="0.2">
      <c r="C813" s="2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</row>
    <row r="814" spans="3:14" x14ac:dyDescent="0.2">
      <c r="C814" s="2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</row>
    <row r="815" spans="3:14" x14ac:dyDescent="0.2">
      <c r="C815" s="2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</row>
    <row r="816" spans="3:14" x14ac:dyDescent="0.2">
      <c r="C816" s="2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</row>
    <row r="817" spans="3:14" x14ac:dyDescent="0.2">
      <c r="C817" s="2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</row>
    <row r="818" spans="3:14" x14ac:dyDescent="0.2">
      <c r="C818" s="2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</row>
    <row r="819" spans="3:14" x14ac:dyDescent="0.2">
      <c r="C819" s="2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</row>
    <row r="820" spans="3:14" x14ac:dyDescent="0.2">
      <c r="C820" s="2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</row>
    <row r="821" spans="3:14" x14ac:dyDescent="0.2">
      <c r="C821" s="2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</row>
    <row r="822" spans="3:14" x14ac:dyDescent="0.2">
      <c r="C822" s="2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</row>
    <row r="823" spans="3:14" x14ac:dyDescent="0.2">
      <c r="C823" s="2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</row>
    <row r="824" spans="3:14" x14ac:dyDescent="0.2">
      <c r="C824" s="2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</row>
    <row r="825" spans="3:14" x14ac:dyDescent="0.2">
      <c r="C825" s="2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</row>
    <row r="826" spans="3:14" x14ac:dyDescent="0.2">
      <c r="C826" s="2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</row>
    <row r="827" spans="3:14" x14ac:dyDescent="0.2">
      <c r="C827" s="2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</row>
    <row r="828" spans="3:14" x14ac:dyDescent="0.2">
      <c r="C828" s="2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</row>
    <row r="829" spans="3:14" x14ac:dyDescent="0.2">
      <c r="C829" s="2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</row>
    <row r="830" spans="3:14" x14ac:dyDescent="0.2">
      <c r="C830" s="2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</row>
    <row r="831" spans="3:14" x14ac:dyDescent="0.2">
      <c r="C831" s="2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</row>
    <row r="832" spans="3:14" x14ac:dyDescent="0.2">
      <c r="C832" s="2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</row>
    <row r="833" spans="3:14" x14ac:dyDescent="0.2">
      <c r="C833" s="2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</row>
    <row r="834" spans="3:14" x14ac:dyDescent="0.2">
      <c r="C834" s="2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</row>
    <row r="835" spans="3:14" x14ac:dyDescent="0.2">
      <c r="C835" s="2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</row>
    <row r="836" spans="3:14" x14ac:dyDescent="0.2">
      <c r="C836" s="2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</row>
    <row r="837" spans="3:14" x14ac:dyDescent="0.2">
      <c r="C837" s="2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</row>
    <row r="838" spans="3:14" x14ac:dyDescent="0.2">
      <c r="C838" s="2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</row>
    <row r="839" spans="3:14" x14ac:dyDescent="0.2">
      <c r="C839" s="2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</row>
    <row r="840" spans="3:14" x14ac:dyDescent="0.2">
      <c r="C840" s="2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</row>
    <row r="841" spans="3:14" x14ac:dyDescent="0.2">
      <c r="C841" s="2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</row>
    <row r="842" spans="3:14" x14ac:dyDescent="0.2">
      <c r="C842" s="2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</row>
    <row r="843" spans="3:14" x14ac:dyDescent="0.2">
      <c r="C843" s="2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</row>
    <row r="844" spans="3:14" x14ac:dyDescent="0.2">
      <c r="C844" s="2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</row>
    <row r="845" spans="3:14" x14ac:dyDescent="0.2">
      <c r="C845" s="2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</row>
    <row r="846" spans="3:14" x14ac:dyDescent="0.2">
      <c r="C846" s="2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</row>
    <row r="847" spans="3:14" x14ac:dyDescent="0.2">
      <c r="C847" s="2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</row>
    <row r="848" spans="3:14" x14ac:dyDescent="0.2">
      <c r="C848" s="2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</row>
    <row r="849" spans="3:14" x14ac:dyDescent="0.2">
      <c r="C849" s="2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</row>
    <row r="850" spans="3:14" x14ac:dyDescent="0.2">
      <c r="C850" s="2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</row>
    <row r="851" spans="3:14" x14ac:dyDescent="0.2">
      <c r="C851" s="2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</row>
    <row r="852" spans="3:14" x14ac:dyDescent="0.2">
      <c r="C852" s="2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</row>
    <row r="853" spans="3:14" x14ac:dyDescent="0.2">
      <c r="C853" s="2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</row>
    <row r="854" spans="3:14" x14ac:dyDescent="0.2">
      <c r="C854" s="2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</row>
    <row r="855" spans="3:14" x14ac:dyDescent="0.2">
      <c r="C855" s="2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</row>
    <row r="856" spans="3:14" x14ac:dyDescent="0.2">
      <c r="C856" s="2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</row>
    <row r="857" spans="3:14" x14ac:dyDescent="0.2">
      <c r="C857" s="2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</row>
    <row r="858" spans="3:14" x14ac:dyDescent="0.2">
      <c r="C858" s="2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</row>
    <row r="859" spans="3:14" x14ac:dyDescent="0.2">
      <c r="C859" s="2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</row>
    <row r="860" spans="3:14" x14ac:dyDescent="0.2">
      <c r="C860" s="2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</row>
    <row r="861" spans="3:14" x14ac:dyDescent="0.2">
      <c r="C861" s="2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</row>
    <row r="862" spans="3:14" x14ac:dyDescent="0.2">
      <c r="C862" s="2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</row>
    <row r="863" spans="3:14" x14ac:dyDescent="0.2">
      <c r="C863" s="2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</row>
    <row r="864" spans="3:14" x14ac:dyDescent="0.2">
      <c r="C864" s="2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</row>
    <row r="865" spans="3:14" x14ac:dyDescent="0.2">
      <c r="C865" s="2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</row>
    <row r="866" spans="3:14" x14ac:dyDescent="0.2">
      <c r="C866" s="2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</row>
    <row r="867" spans="3:14" x14ac:dyDescent="0.2">
      <c r="C867" s="2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</row>
    <row r="868" spans="3:14" x14ac:dyDescent="0.2">
      <c r="C868" s="2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</row>
    <row r="869" spans="3:14" x14ac:dyDescent="0.2">
      <c r="C869" s="2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</row>
    <row r="870" spans="3:14" x14ac:dyDescent="0.2">
      <c r="C870" s="2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</row>
    <row r="871" spans="3:14" x14ac:dyDescent="0.2">
      <c r="C871" s="2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</row>
    <row r="872" spans="3:14" x14ac:dyDescent="0.2">
      <c r="C872" s="2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</row>
    <row r="873" spans="3:14" x14ac:dyDescent="0.2">
      <c r="C873" s="2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</row>
    <row r="874" spans="3:14" x14ac:dyDescent="0.2">
      <c r="C874" s="2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</row>
    <row r="875" spans="3:14" x14ac:dyDescent="0.2">
      <c r="C875" s="2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</row>
    <row r="876" spans="3:14" x14ac:dyDescent="0.2">
      <c r="C876" s="2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</row>
    <row r="877" spans="3:14" x14ac:dyDescent="0.2">
      <c r="C877" s="2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</row>
    <row r="878" spans="3:14" x14ac:dyDescent="0.2">
      <c r="C878" s="2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</row>
    <row r="879" spans="3:14" x14ac:dyDescent="0.2">
      <c r="C879" s="2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</row>
    <row r="880" spans="3:14" x14ac:dyDescent="0.2">
      <c r="C880" s="2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</row>
    <row r="881" spans="3:14" x14ac:dyDescent="0.2">
      <c r="C881" s="2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</row>
    <row r="882" spans="3:14" x14ac:dyDescent="0.2">
      <c r="C882" s="2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</row>
    <row r="883" spans="3:14" x14ac:dyDescent="0.2">
      <c r="C883" s="2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</row>
    <row r="884" spans="3:14" x14ac:dyDescent="0.2">
      <c r="C884" s="2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</row>
    <row r="885" spans="3:14" x14ac:dyDescent="0.2">
      <c r="C885" s="2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</row>
    <row r="886" spans="3:14" x14ac:dyDescent="0.2">
      <c r="C886" s="2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</row>
    <row r="887" spans="3:14" x14ac:dyDescent="0.2">
      <c r="C887" s="2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</row>
    <row r="888" spans="3:14" x14ac:dyDescent="0.2">
      <c r="C888" s="2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</row>
    <row r="889" spans="3:14" x14ac:dyDescent="0.2">
      <c r="C889" s="2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</row>
    <row r="890" spans="3:14" x14ac:dyDescent="0.2">
      <c r="C890" s="2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</row>
    <row r="891" spans="3:14" x14ac:dyDescent="0.2">
      <c r="C891" s="2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</row>
    <row r="892" spans="3:14" x14ac:dyDescent="0.2">
      <c r="C892" s="2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</row>
    <row r="893" spans="3:14" x14ac:dyDescent="0.2">
      <c r="C893" s="2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</row>
    <row r="894" spans="3:14" x14ac:dyDescent="0.2">
      <c r="C894" s="2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</row>
    <row r="895" spans="3:14" x14ac:dyDescent="0.2">
      <c r="C895" s="2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</row>
    <row r="896" spans="3:14" x14ac:dyDescent="0.2">
      <c r="C896" s="2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</row>
    <row r="897" spans="3:14" x14ac:dyDescent="0.2">
      <c r="C897" s="2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</row>
    <row r="898" spans="3:14" x14ac:dyDescent="0.2">
      <c r="C898" s="2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</row>
    <row r="899" spans="3:14" x14ac:dyDescent="0.2">
      <c r="C899" s="2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</row>
    <row r="900" spans="3:14" x14ac:dyDescent="0.2">
      <c r="C900" s="2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</row>
    <row r="901" spans="3:14" x14ac:dyDescent="0.2">
      <c r="C901" s="2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</row>
    <row r="902" spans="3:14" x14ac:dyDescent="0.2">
      <c r="C902" s="2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</row>
    <row r="903" spans="3:14" x14ac:dyDescent="0.2">
      <c r="C903" s="2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</row>
    <row r="904" spans="3:14" x14ac:dyDescent="0.2">
      <c r="C904" s="2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</row>
    <row r="905" spans="3:14" x14ac:dyDescent="0.2">
      <c r="C905" s="2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</row>
    <row r="906" spans="3:14" x14ac:dyDescent="0.2">
      <c r="C906" s="2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</row>
    <row r="907" spans="3:14" x14ac:dyDescent="0.2">
      <c r="C907" s="2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</row>
    <row r="908" spans="3:14" x14ac:dyDescent="0.2">
      <c r="C908" s="2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</row>
    <row r="909" spans="3:14" x14ac:dyDescent="0.2">
      <c r="C909" s="2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</row>
    <row r="910" spans="3:14" x14ac:dyDescent="0.2">
      <c r="C910" s="2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</row>
    <row r="911" spans="3:14" x14ac:dyDescent="0.2">
      <c r="C911" s="2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</row>
    <row r="912" spans="3:14" x14ac:dyDescent="0.2">
      <c r="C912" s="2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</row>
    <row r="913" spans="3:14" x14ac:dyDescent="0.2">
      <c r="C913" s="2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</row>
    <row r="914" spans="3:14" x14ac:dyDescent="0.2">
      <c r="C914" s="2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</row>
    <row r="915" spans="3:14" x14ac:dyDescent="0.2">
      <c r="C915" s="2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</row>
    <row r="916" spans="3:14" x14ac:dyDescent="0.2">
      <c r="C916" s="2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</row>
    <row r="917" spans="3:14" x14ac:dyDescent="0.2">
      <c r="C917" s="2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</row>
    <row r="918" spans="3:14" x14ac:dyDescent="0.2">
      <c r="C918" s="2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</row>
    <row r="919" spans="3:14" x14ac:dyDescent="0.2">
      <c r="C919" s="2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</row>
    <row r="920" spans="3:14" x14ac:dyDescent="0.2">
      <c r="C920" s="2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</row>
    <row r="921" spans="3:14" x14ac:dyDescent="0.2">
      <c r="C921" s="2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</row>
    <row r="922" spans="3:14" x14ac:dyDescent="0.2">
      <c r="C922" s="2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</row>
    <row r="923" spans="3:14" x14ac:dyDescent="0.2">
      <c r="C923" s="2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</row>
    <row r="924" spans="3:14" x14ac:dyDescent="0.2">
      <c r="C924" s="2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</row>
    <row r="925" spans="3:14" x14ac:dyDescent="0.2">
      <c r="C925" s="2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</row>
    <row r="926" spans="3:14" x14ac:dyDescent="0.2">
      <c r="C926" s="2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</row>
    <row r="927" spans="3:14" x14ac:dyDescent="0.2">
      <c r="C927" s="2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</row>
    <row r="928" spans="3:14" x14ac:dyDescent="0.2">
      <c r="C928" s="2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</row>
    <row r="929" spans="3:14" x14ac:dyDescent="0.2">
      <c r="C929" s="2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</row>
    <row r="930" spans="3:14" x14ac:dyDescent="0.2">
      <c r="C930" s="2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</row>
    <row r="931" spans="3:14" x14ac:dyDescent="0.2">
      <c r="C931" s="2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</row>
    <row r="932" spans="3:14" x14ac:dyDescent="0.2">
      <c r="C932" s="2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</row>
    <row r="933" spans="3:14" x14ac:dyDescent="0.2">
      <c r="C933" s="2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</row>
    <row r="934" spans="3:14" x14ac:dyDescent="0.2">
      <c r="C934" s="2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</row>
    <row r="935" spans="3:14" x14ac:dyDescent="0.2">
      <c r="C935" s="2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</row>
    <row r="936" spans="3:14" x14ac:dyDescent="0.2">
      <c r="C936" s="2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</row>
    <row r="937" spans="3:14" x14ac:dyDescent="0.2">
      <c r="C937" s="2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</row>
    <row r="938" spans="3:14" x14ac:dyDescent="0.2">
      <c r="C938" s="2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</row>
    <row r="939" spans="3:14" x14ac:dyDescent="0.2">
      <c r="C939" s="2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</row>
    <row r="940" spans="3:14" x14ac:dyDescent="0.2">
      <c r="C940" s="2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</row>
    <row r="941" spans="3:14" x14ac:dyDescent="0.2">
      <c r="C941" s="2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</row>
    <row r="942" spans="3:14" x14ac:dyDescent="0.2">
      <c r="C942" s="2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</row>
    <row r="943" spans="3:14" x14ac:dyDescent="0.2">
      <c r="C943" s="2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</row>
    <row r="944" spans="3:14" x14ac:dyDescent="0.2">
      <c r="C944" s="2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</row>
    <row r="945" spans="3:14" x14ac:dyDescent="0.2">
      <c r="C945" s="2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</row>
    <row r="946" spans="3:14" x14ac:dyDescent="0.2">
      <c r="C946" s="2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</row>
    <row r="947" spans="3:14" x14ac:dyDescent="0.2">
      <c r="C947" s="2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</row>
    <row r="948" spans="3:14" x14ac:dyDescent="0.2">
      <c r="C948" s="2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</row>
    <row r="949" spans="3:14" x14ac:dyDescent="0.2">
      <c r="C949" s="2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</row>
    <row r="950" spans="3:14" x14ac:dyDescent="0.2">
      <c r="C950" s="2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</row>
    <row r="951" spans="3:14" x14ac:dyDescent="0.2">
      <c r="C951" s="2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</row>
    <row r="952" spans="3:14" x14ac:dyDescent="0.2">
      <c r="C952" s="2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</row>
    <row r="953" spans="3:14" x14ac:dyDescent="0.2">
      <c r="C953" s="2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</row>
    <row r="954" spans="3:14" x14ac:dyDescent="0.2">
      <c r="C954" s="2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</row>
    <row r="955" spans="3:14" x14ac:dyDescent="0.2">
      <c r="C955" s="2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</row>
    <row r="956" spans="3:14" x14ac:dyDescent="0.2">
      <c r="C956" s="2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</row>
    <row r="957" spans="3:14" x14ac:dyDescent="0.2">
      <c r="C957" s="2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</row>
    <row r="958" spans="3:14" x14ac:dyDescent="0.2">
      <c r="C958" s="2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</row>
    <row r="959" spans="3:14" x14ac:dyDescent="0.2">
      <c r="C959" s="2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</row>
    <row r="960" spans="3:14" x14ac:dyDescent="0.2">
      <c r="C960" s="2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</row>
    <row r="961" spans="3:14" x14ac:dyDescent="0.2">
      <c r="C961" s="2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</row>
    <row r="962" spans="3:14" x14ac:dyDescent="0.2">
      <c r="C962" s="2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</row>
    <row r="963" spans="3:14" x14ac:dyDescent="0.2">
      <c r="C963" s="2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</row>
    <row r="964" spans="3:14" x14ac:dyDescent="0.2">
      <c r="C964" s="2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</row>
    <row r="965" spans="3:14" x14ac:dyDescent="0.2">
      <c r="C965" s="2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</row>
    <row r="966" spans="3:14" x14ac:dyDescent="0.2">
      <c r="C966" s="2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</row>
    <row r="967" spans="3:14" x14ac:dyDescent="0.2">
      <c r="C967" s="2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</row>
    <row r="968" spans="3:14" x14ac:dyDescent="0.2">
      <c r="C968" s="2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</row>
    <row r="969" spans="3:14" x14ac:dyDescent="0.2">
      <c r="C969" s="2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</row>
    <row r="970" spans="3:14" x14ac:dyDescent="0.2">
      <c r="C970" s="2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</row>
    <row r="971" spans="3:14" x14ac:dyDescent="0.2">
      <c r="C971" s="2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</row>
    <row r="972" spans="3:14" x14ac:dyDescent="0.2">
      <c r="C972" s="2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</row>
    <row r="973" spans="3:14" x14ac:dyDescent="0.2">
      <c r="C973" s="2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</row>
    <row r="974" spans="3:14" x14ac:dyDescent="0.2">
      <c r="C974" s="2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</row>
    <row r="975" spans="3:14" x14ac:dyDescent="0.2">
      <c r="C975" s="2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</row>
    <row r="976" spans="3:14" x14ac:dyDescent="0.2">
      <c r="C976" s="2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</row>
    <row r="977" spans="3:14" x14ac:dyDescent="0.2">
      <c r="C977" s="2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</row>
    <row r="978" spans="3:14" x14ac:dyDescent="0.2">
      <c r="C978" s="2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</row>
    <row r="979" spans="3:14" x14ac:dyDescent="0.2">
      <c r="C979" s="2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</row>
    <row r="980" spans="3:14" x14ac:dyDescent="0.2">
      <c r="C980" s="2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</row>
    <row r="981" spans="3:14" x14ac:dyDescent="0.2">
      <c r="C981" s="2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</row>
    <row r="982" spans="3:14" x14ac:dyDescent="0.2">
      <c r="C982" s="2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</row>
    <row r="983" spans="3:14" x14ac:dyDescent="0.2">
      <c r="C983" s="2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</row>
    <row r="984" spans="3:14" x14ac:dyDescent="0.2">
      <c r="C984" s="2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</row>
    <row r="985" spans="3:14" x14ac:dyDescent="0.2">
      <c r="C985" s="2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</row>
    <row r="986" spans="3:14" x14ac:dyDescent="0.2">
      <c r="C986" s="2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</row>
    <row r="987" spans="3:14" x14ac:dyDescent="0.2">
      <c r="C987" s="2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</row>
    <row r="988" spans="3:14" x14ac:dyDescent="0.2">
      <c r="C988" s="2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</row>
    <row r="989" spans="3:14" x14ac:dyDescent="0.2">
      <c r="C989" s="2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</row>
    <row r="990" spans="3:14" x14ac:dyDescent="0.2">
      <c r="C990" s="2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</row>
    <row r="991" spans="3:14" x14ac:dyDescent="0.2">
      <c r="C991" s="2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</row>
    <row r="992" spans="3:14" x14ac:dyDescent="0.2">
      <c r="C992" s="2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</row>
    <row r="993" spans="3:14" x14ac:dyDescent="0.2">
      <c r="C993" s="2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</row>
    <row r="994" spans="3:14" x14ac:dyDescent="0.2">
      <c r="C994" s="2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</row>
    <row r="995" spans="3:14" x14ac:dyDescent="0.2">
      <c r="C995" s="2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</row>
    <row r="996" spans="3:14" x14ac:dyDescent="0.2">
      <c r="C996" s="2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</row>
    <row r="997" spans="3:14" x14ac:dyDescent="0.2">
      <c r="C997" s="2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</row>
    <row r="998" spans="3:14" x14ac:dyDescent="0.2">
      <c r="C998" s="2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</row>
    <row r="999" spans="3:14" x14ac:dyDescent="0.2">
      <c r="C999" s="2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</row>
    <row r="1000" spans="3:14" x14ac:dyDescent="0.2">
      <c r="C1000" s="2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</row>
    <row r="1001" spans="3:14" x14ac:dyDescent="0.2">
      <c r="C1001" s="2"/>
      <c r="D1001" s="3"/>
      <c r="E1001" s="3"/>
      <c r="F1001" s="3"/>
      <c r="G1001" s="3"/>
      <c r="H1001" s="3"/>
      <c r="I1001" s="3"/>
      <c r="J1001" s="3"/>
      <c r="K1001" s="3"/>
      <c r="L1001" s="3"/>
      <c r="M1001" s="3"/>
      <c r="N1001" s="3"/>
    </row>
    <row r="1002" spans="3:14" x14ac:dyDescent="0.2">
      <c r="C1002" s="2"/>
      <c r="D1002" s="3"/>
      <c r="E1002" s="3"/>
      <c r="F1002" s="3"/>
      <c r="G1002" s="3"/>
      <c r="H1002" s="3"/>
      <c r="I1002" s="3"/>
      <c r="J1002" s="3"/>
      <c r="K1002" s="3"/>
      <c r="L1002" s="3"/>
      <c r="M1002" s="3"/>
      <c r="N1002" s="3"/>
    </row>
    <row r="1003" spans="3:14" x14ac:dyDescent="0.2">
      <c r="C1003" s="2"/>
      <c r="D1003" s="3"/>
      <c r="E1003" s="3"/>
      <c r="F1003" s="3"/>
      <c r="G1003" s="3"/>
      <c r="H1003" s="3"/>
      <c r="I1003" s="3"/>
      <c r="J1003" s="3"/>
      <c r="K1003" s="3"/>
      <c r="L1003" s="3"/>
      <c r="M1003" s="3"/>
      <c r="N1003" s="3"/>
    </row>
    <row r="1004" spans="3:14" x14ac:dyDescent="0.2">
      <c r="C1004" s="2"/>
      <c r="D1004" s="3"/>
      <c r="E1004" s="3"/>
      <c r="F1004" s="3"/>
      <c r="G1004" s="3"/>
      <c r="H1004" s="3"/>
      <c r="I1004" s="3"/>
      <c r="J1004" s="3"/>
      <c r="K1004" s="3"/>
      <c r="L1004" s="3"/>
      <c r="M1004" s="3"/>
      <c r="N1004" s="3"/>
    </row>
    <row r="1005" spans="3:14" x14ac:dyDescent="0.2">
      <c r="C1005" s="2"/>
      <c r="D1005" s="3"/>
      <c r="E1005" s="3"/>
      <c r="F1005" s="3"/>
      <c r="G1005" s="3"/>
      <c r="H1005" s="3"/>
      <c r="I1005" s="3"/>
      <c r="J1005" s="3"/>
      <c r="K1005" s="3"/>
      <c r="L1005" s="3"/>
      <c r="M1005" s="3"/>
      <c r="N1005" s="3"/>
    </row>
    <row r="1006" spans="3:14" x14ac:dyDescent="0.2">
      <c r="C1006" s="2"/>
      <c r="D1006" s="3"/>
      <c r="E1006" s="3"/>
      <c r="F1006" s="3"/>
      <c r="G1006" s="3"/>
      <c r="H1006" s="3"/>
      <c r="I1006" s="3"/>
      <c r="J1006" s="3"/>
      <c r="K1006" s="3"/>
      <c r="L1006" s="3"/>
      <c r="M1006" s="3"/>
      <c r="N1006" s="3"/>
    </row>
    <row r="1007" spans="3:14" x14ac:dyDescent="0.2">
      <c r="C1007" s="2"/>
      <c r="D1007" s="3"/>
      <c r="E1007" s="3"/>
      <c r="F1007" s="3"/>
      <c r="G1007" s="3"/>
      <c r="H1007" s="3"/>
      <c r="I1007" s="3"/>
      <c r="J1007" s="3"/>
      <c r="K1007" s="3"/>
      <c r="L1007" s="3"/>
      <c r="M1007" s="3"/>
      <c r="N1007" s="3"/>
    </row>
    <row r="1008" spans="3:14" x14ac:dyDescent="0.2">
      <c r="C1008" s="2"/>
      <c r="D1008" s="3"/>
      <c r="E1008" s="3"/>
      <c r="F1008" s="3"/>
      <c r="G1008" s="3"/>
      <c r="H1008" s="3"/>
      <c r="I1008" s="3"/>
      <c r="J1008" s="3"/>
      <c r="K1008" s="3"/>
      <c r="L1008" s="3"/>
      <c r="M1008" s="3"/>
      <c r="N1008" s="3"/>
    </row>
    <row r="1009" spans="3:14" x14ac:dyDescent="0.2">
      <c r="C1009" s="2"/>
      <c r="D1009" s="3"/>
      <c r="E1009" s="3"/>
      <c r="F1009" s="3"/>
      <c r="G1009" s="3"/>
      <c r="H1009" s="3"/>
      <c r="I1009" s="3"/>
      <c r="J1009" s="3"/>
      <c r="K1009" s="3"/>
      <c r="L1009" s="3"/>
      <c r="M1009" s="3"/>
      <c r="N1009" s="3"/>
    </row>
    <row r="1010" spans="3:14" x14ac:dyDescent="0.2">
      <c r="C1010" s="2"/>
      <c r="D1010" s="3"/>
      <c r="E1010" s="3"/>
      <c r="F1010" s="3"/>
      <c r="G1010" s="3"/>
      <c r="H1010" s="3"/>
      <c r="I1010" s="3"/>
      <c r="J1010" s="3"/>
      <c r="K1010" s="3"/>
      <c r="L1010" s="3"/>
      <c r="M1010" s="3"/>
      <c r="N1010" s="3"/>
    </row>
    <row r="1011" spans="3:14" x14ac:dyDescent="0.2">
      <c r="C1011" s="2"/>
      <c r="D1011" s="3"/>
      <c r="E1011" s="3"/>
      <c r="F1011" s="3"/>
      <c r="G1011" s="3"/>
      <c r="H1011" s="3"/>
      <c r="I1011" s="3"/>
      <c r="J1011" s="3"/>
      <c r="K1011" s="3"/>
      <c r="L1011" s="3"/>
      <c r="M1011" s="3"/>
      <c r="N1011" s="3"/>
    </row>
    <row r="1012" spans="3:14" x14ac:dyDescent="0.2">
      <c r="C1012" s="2"/>
      <c r="D1012" s="3"/>
      <c r="E1012" s="3"/>
      <c r="F1012" s="3"/>
      <c r="G1012" s="3"/>
      <c r="H1012" s="3"/>
      <c r="I1012" s="3"/>
      <c r="J1012" s="3"/>
      <c r="K1012" s="3"/>
      <c r="L1012" s="3"/>
      <c r="M1012" s="3"/>
      <c r="N1012" s="3"/>
    </row>
    <row r="1013" spans="3:14" x14ac:dyDescent="0.2">
      <c r="C1013" s="2"/>
      <c r="D1013" s="3"/>
      <c r="E1013" s="3"/>
      <c r="F1013" s="3"/>
      <c r="G1013" s="3"/>
      <c r="H1013" s="3"/>
      <c r="I1013" s="3"/>
      <c r="J1013" s="3"/>
      <c r="K1013" s="3"/>
      <c r="L1013" s="3"/>
      <c r="M1013" s="3"/>
      <c r="N1013" s="3"/>
    </row>
    <row r="1014" spans="3:14" x14ac:dyDescent="0.2">
      <c r="C1014" s="2"/>
      <c r="D1014" s="3"/>
      <c r="E1014" s="3"/>
      <c r="F1014" s="3"/>
      <c r="G1014" s="3"/>
      <c r="H1014" s="3"/>
      <c r="I1014" s="3"/>
      <c r="J1014" s="3"/>
      <c r="K1014" s="3"/>
      <c r="L1014" s="3"/>
      <c r="M1014" s="3"/>
      <c r="N1014" s="3"/>
    </row>
    <row r="1015" spans="3:14" x14ac:dyDescent="0.2">
      <c r="C1015" s="2"/>
      <c r="D1015" s="3"/>
      <c r="E1015" s="3"/>
      <c r="F1015" s="3"/>
      <c r="G1015" s="3"/>
      <c r="H1015" s="3"/>
      <c r="I1015" s="3"/>
      <c r="J1015" s="3"/>
      <c r="K1015" s="3"/>
      <c r="L1015" s="3"/>
      <c r="M1015" s="3"/>
      <c r="N1015" s="3"/>
    </row>
    <row r="1016" spans="3:14" x14ac:dyDescent="0.2">
      <c r="C1016" s="2"/>
      <c r="D1016" s="3"/>
      <c r="E1016" s="3"/>
      <c r="F1016" s="3"/>
      <c r="G1016" s="3"/>
      <c r="H1016" s="3"/>
      <c r="I1016" s="3"/>
      <c r="J1016" s="3"/>
      <c r="K1016" s="3"/>
      <c r="L1016" s="3"/>
      <c r="M1016" s="3"/>
      <c r="N1016" s="3"/>
    </row>
    <row r="1017" spans="3:14" x14ac:dyDescent="0.2">
      <c r="C1017" s="2"/>
      <c r="D1017" s="3"/>
      <c r="E1017" s="3"/>
      <c r="F1017" s="3"/>
      <c r="G1017" s="3"/>
      <c r="H1017" s="3"/>
      <c r="I1017" s="3"/>
      <c r="J1017" s="3"/>
      <c r="K1017" s="3"/>
      <c r="L1017" s="3"/>
      <c r="M1017" s="3"/>
      <c r="N1017" s="3"/>
    </row>
    <row r="1018" spans="3:14" x14ac:dyDescent="0.2">
      <c r="C1018" s="2"/>
      <c r="D1018" s="3"/>
      <c r="E1018" s="3"/>
      <c r="F1018" s="3"/>
      <c r="G1018" s="3"/>
      <c r="H1018" s="3"/>
      <c r="I1018" s="3"/>
      <c r="J1018" s="3"/>
      <c r="K1018" s="3"/>
      <c r="L1018" s="3"/>
      <c r="M1018" s="3"/>
      <c r="N1018" s="3"/>
    </row>
    <row r="1019" spans="3:14" x14ac:dyDescent="0.2">
      <c r="C1019" s="2"/>
      <c r="D1019" s="3"/>
      <c r="E1019" s="3"/>
      <c r="F1019" s="3"/>
      <c r="G1019" s="3"/>
      <c r="H1019" s="3"/>
      <c r="I1019" s="3"/>
      <c r="J1019" s="3"/>
      <c r="K1019" s="3"/>
      <c r="L1019" s="3"/>
      <c r="M1019" s="3"/>
      <c r="N1019" s="3"/>
    </row>
    <row r="1020" spans="3:14" x14ac:dyDescent="0.2">
      <c r="C1020" s="2"/>
      <c r="D1020" s="3"/>
      <c r="E1020" s="3"/>
      <c r="F1020" s="3"/>
      <c r="G1020" s="3"/>
      <c r="H1020" s="3"/>
      <c r="I1020" s="3"/>
      <c r="J1020" s="3"/>
      <c r="K1020" s="3"/>
      <c r="L1020" s="3"/>
      <c r="M1020" s="3"/>
      <c r="N1020" s="3"/>
    </row>
    <row r="1021" spans="3:14" x14ac:dyDescent="0.2">
      <c r="C1021" s="2"/>
      <c r="D1021" s="3"/>
      <c r="E1021" s="3"/>
      <c r="F1021" s="3"/>
      <c r="G1021" s="3"/>
      <c r="H1021" s="3"/>
      <c r="I1021" s="3"/>
      <c r="J1021" s="3"/>
      <c r="K1021" s="3"/>
      <c r="L1021" s="3"/>
      <c r="M1021" s="3"/>
      <c r="N1021" s="3"/>
    </row>
    <row r="1022" spans="3:14" x14ac:dyDescent="0.2">
      <c r="C1022" s="2"/>
      <c r="D1022" s="3"/>
      <c r="E1022" s="3"/>
      <c r="F1022" s="3"/>
      <c r="G1022" s="3"/>
      <c r="H1022" s="3"/>
      <c r="I1022" s="3"/>
      <c r="J1022" s="3"/>
      <c r="K1022" s="3"/>
      <c r="L1022" s="3"/>
      <c r="M1022" s="3"/>
      <c r="N1022" s="3"/>
    </row>
    <row r="1023" spans="3:14" x14ac:dyDescent="0.2">
      <c r="C1023" s="2"/>
      <c r="D1023" s="3"/>
      <c r="E1023" s="3"/>
      <c r="F1023" s="3"/>
      <c r="G1023" s="3"/>
      <c r="H1023" s="3"/>
      <c r="I1023" s="3"/>
      <c r="J1023" s="3"/>
      <c r="K1023" s="3"/>
      <c r="L1023" s="3"/>
      <c r="M1023" s="3"/>
      <c r="N1023" s="3"/>
    </row>
    <row r="1024" spans="3:14" x14ac:dyDescent="0.2">
      <c r="C1024" s="2"/>
      <c r="D1024" s="3"/>
      <c r="E1024" s="3"/>
      <c r="F1024" s="3"/>
      <c r="G1024" s="3"/>
      <c r="H1024" s="3"/>
      <c r="I1024" s="3"/>
      <c r="J1024" s="3"/>
      <c r="K1024" s="3"/>
      <c r="L1024" s="3"/>
      <c r="M1024" s="3"/>
      <c r="N1024" s="3"/>
    </row>
    <row r="1025" spans="3:14" x14ac:dyDescent="0.2">
      <c r="C1025" s="2"/>
      <c r="D1025" s="3"/>
      <c r="E1025" s="3"/>
      <c r="F1025" s="3"/>
      <c r="G1025" s="3"/>
      <c r="H1025" s="3"/>
      <c r="I1025" s="3"/>
      <c r="J1025" s="3"/>
      <c r="K1025" s="3"/>
      <c r="L1025" s="3"/>
      <c r="M1025" s="3"/>
      <c r="N1025" s="3"/>
    </row>
    <row r="1026" spans="3:14" x14ac:dyDescent="0.2">
      <c r="C1026" s="2"/>
      <c r="D1026" s="3"/>
      <c r="E1026" s="3"/>
      <c r="F1026" s="3"/>
      <c r="G1026" s="3"/>
      <c r="H1026" s="3"/>
      <c r="I1026" s="3"/>
      <c r="J1026" s="3"/>
      <c r="K1026" s="3"/>
      <c r="L1026" s="3"/>
      <c r="M1026" s="3"/>
      <c r="N1026" s="3"/>
    </row>
    <row r="1027" spans="3:14" x14ac:dyDescent="0.2">
      <c r="C1027" s="2"/>
      <c r="D1027" s="3"/>
      <c r="E1027" s="3"/>
      <c r="F1027" s="3"/>
      <c r="G1027" s="3"/>
      <c r="H1027" s="3"/>
      <c r="I1027" s="3"/>
      <c r="J1027" s="3"/>
      <c r="K1027" s="3"/>
      <c r="L1027" s="3"/>
      <c r="M1027" s="3"/>
      <c r="N1027" s="3"/>
    </row>
    <row r="1028" spans="3:14" x14ac:dyDescent="0.2">
      <c r="C1028" s="2"/>
      <c r="D1028" s="3"/>
      <c r="E1028" s="3"/>
      <c r="F1028" s="3"/>
      <c r="G1028" s="3"/>
      <c r="H1028" s="3"/>
      <c r="I1028" s="3"/>
      <c r="J1028" s="3"/>
      <c r="K1028" s="3"/>
      <c r="L1028" s="3"/>
      <c r="M1028" s="3"/>
      <c r="N1028" s="3"/>
    </row>
    <row r="1029" spans="3:14" x14ac:dyDescent="0.2">
      <c r="C1029" s="2"/>
      <c r="D1029" s="3"/>
      <c r="E1029" s="3"/>
      <c r="F1029" s="3"/>
      <c r="G1029" s="3"/>
      <c r="H1029" s="3"/>
      <c r="I1029" s="3"/>
      <c r="J1029" s="3"/>
      <c r="K1029" s="3"/>
      <c r="L1029" s="3"/>
      <c r="M1029" s="3"/>
      <c r="N1029" s="3"/>
    </row>
    <row r="1030" spans="3:14" x14ac:dyDescent="0.2">
      <c r="C1030" s="2"/>
      <c r="D1030" s="3"/>
      <c r="E1030" s="3"/>
      <c r="F1030" s="3"/>
      <c r="G1030" s="3"/>
      <c r="H1030" s="3"/>
      <c r="I1030" s="3"/>
      <c r="J1030" s="3"/>
      <c r="K1030" s="3"/>
      <c r="L1030" s="3"/>
      <c r="M1030" s="3"/>
      <c r="N1030" s="3"/>
    </row>
    <row r="1031" spans="3:14" x14ac:dyDescent="0.2">
      <c r="C1031" s="2"/>
      <c r="D1031" s="3"/>
      <c r="E1031" s="3"/>
      <c r="F1031" s="3"/>
      <c r="G1031" s="3"/>
      <c r="H1031" s="3"/>
      <c r="I1031" s="3"/>
      <c r="J1031" s="3"/>
      <c r="K1031" s="3"/>
      <c r="L1031" s="3"/>
      <c r="M1031" s="3"/>
      <c r="N1031" s="3"/>
    </row>
    <row r="1032" spans="3:14" x14ac:dyDescent="0.2">
      <c r="C1032" s="2"/>
      <c r="D1032" s="3"/>
      <c r="E1032" s="3"/>
      <c r="F1032" s="3"/>
      <c r="G1032" s="3"/>
      <c r="H1032" s="3"/>
      <c r="I1032" s="3"/>
      <c r="J1032" s="3"/>
      <c r="K1032" s="3"/>
      <c r="L1032" s="3"/>
      <c r="M1032" s="3"/>
      <c r="N1032" s="3"/>
    </row>
    <row r="1033" spans="3:14" x14ac:dyDescent="0.2">
      <c r="C1033" s="2"/>
      <c r="D1033" s="3"/>
      <c r="E1033" s="3"/>
      <c r="F1033" s="3"/>
      <c r="G1033" s="3"/>
      <c r="H1033" s="3"/>
      <c r="I1033" s="3"/>
      <c r="J1033" s="3"/>
      <c r="K1033" s="3"/>
      <c r="L1033" s="3"/>
      <c r="M1033" s="3"/>
      <c r="N1033" s="3"/>
    </row>
    <row r="1034" spans="3:14" x14ac:dyDescent="0.2">
      <c r="C1034" s="2"/>
      <c r="D1034" s="3"/>
      <c r="E1034" s="3"/>
      <c r="F1034" s="3"/>
      <c r="G1034" s="3"/>
      <c r="H1034" s="3"/>
      <c r="I1034" s="3"/>
      <c r="J1034" s="3"/>
      <c r="K1034" s="3"/>
      <c r="L1034" s="3"/>
      <c r="M1034" s="3"/>
      <c r="N1034" s="3"/>
    </row>
    <row r="1035" spans="3:14" x14ac:dyDescent="0.2">
      <c r="C1035" s="2"/>
      <c r="D1035" s="3"/>
      <c r="E1035" s="3"/>
      <c r="F1035" s="3"/>
      <c r="G1035" s="3"/>
      <c r="H1035" s="3"/>
      <c r="I1035" s="3"/>
      <c r="J1035" s="3"/>
      <c r="K1035" s="3"/>
      <c r="L1035" s="3"/>
      <c r="M1035" s="3"/>
      <c r="N1035" s="3"/>
    </row>
    <row r="1036" spans="3:14" x14ac:dyDescent="0.2">
      <c r="C1036" s="2"/>
      <c r="D1036" s="3"/>
      <c r="E1036" s="3"/>
      <c r="F1036" s="3"/>
      <c r="G1036" s="3"/>
      <c r="H1036" s="3"/>
      <c r="I1036" s="3"/>
      <c r="J1036" s="3"/>
      <c r="K1036" s="3"/>
      <c r="L1036" s="3"/>
      <c r="M1036" s="3"/>
      <c r="N1036" s="3"/>
    </row>
    <row r="1037" spans="3:14" x14ac:dyDescent="0.2">
      <c r="C1037" s="2"/>
      <c r="D1037" s="3"/>
      <c r="E1037" s="3"/>
      <c r="F1037" s="3"/>
      <c r="G1037" s="3"/>
      <c r="H1037" s="3"/>
      <c r="I1037" s="3"/>
      <c r="J1037" s="3"/>
      <c r="K1037" s="3"/>
      <c r="L1037" s="3"/>
      <c r="M1037" s="3"/>
      <c r="N1037" s="3"/>
    </row>
    <row r="1038" spans="3:14" x14ac:dyDescent="0.2">
      <c r="C1038" s="2"/>
      <c r="D1038" s="3"/>
      <c r="E1038" s="3"/>
      <c r="F1038" s="3"/>
      <c r="G1038" s="3"/>
      <c r="H1038" s="3"/>
      <c r="I1038" s="3"/>
      <c r="J1038" s="3"/>
      <c r="K1038" s="3"/>
      <c r="L1038" s="3"/>
      <c r="M1038" s="3"/>
      <c r="N1038" s="3"/>
    </row>
    <row r="1039" spans="3:14" x14ac:dyDescent="0.2">
      <c r="C1039" s="2"/>
      <c r="D1039" s="3"/>
      <c r="E1039" s="3"/>
      <c r="F1039" s="3"/>
      <c r="G1039" s="3"/>
      <c r="H1039" s="3"/>
      <c r="I1039" s="3"/>
      <c r="J1039" s="3"/>
      <c r="K1039" s="3"/>
      <c r="L1039" s="3"/>
      <c r="M1039" s="3"/>
      <c r="N1039" s="3"/>
    </row>
    <row r="1040" spans="3:14" x14ac:dyDescent="0.2">
      <c r="C1040" s="2"/>
      <c r="D1040" s="3"/>
      <c r="E1040" s="3"/>
      <c r="F1040" s="3"/>
      <c r="G1040" s="3"/>
      <c r="H1040" s="3"/>
      <c r="I1040" s="3"/>
      <c r="J1040" s="3"/>
      <c r="K1040" s="3"/>
      <c r="L1040" s="3"/>
      <c r="M1040" s="3"/>
      <c r="N1040" s="3"/>
    </row>
    <row r="1041" spans="3:14" x14ac:dyDescent="0.2">
      <c r="C1041" s="2"/>
      <c r="D1041" s="3"/>
      <c r="E1041" s="3"/>
      <c r="F1041" s="3"/>
      <c r="G1041" s="3"/>
      <c r="H1041" s="3"/>
      <c r="I1041" s="3"/>
      <c r="J1041" s="3"/>
      <c r="K1041" s="3"/>
      <c r="L1041" s="3"/>
      <c r="M1041" s="3"/>
      <c r="N1041" s="3"/>
    </row>
    <row r="1042" spans="3:14" x14ac:dyDescent="0.2">
      <c r="C1042" s="2"/>
      <c r="D1042" s="3"/>
      <c r="E1042" s="3"/>
      <c r="F1042" s="3"/>
      <c r="G1042" s="3"/>
      <c r="H1042" s="3"/>
      <c r="I1042" s="3"/>
      <c r="J1042" s="3"/>
      <c r="K1042" s="3"/>
      <c r="L1042" s="3"/>
      <c r="M1042" s="3"/>
      <c r="N1042" s="3"/>
    </row>
    <row r="1043" spans="3:14" x14ac:dyDescent="0.2">
      <c r="C1043" s="2"/>
      <c r="D1043" s="3"/>
      <c r="E1043" s="3"/>
      <c r="F1043" s="3"/>
      <c r="G1043" s="3"/>
      <c r="H1043" s="3"/>
      <c r="I1043" s="3"/>
      <c r="J1043" s="3"/>
      <c r="K1043" s="3"/>
      <c r="L1043" s="3"/>
      <c r="M1043" s="3"/>
      <c r="N1043" s="3"/>
    </row>
    <row r="1044" spans="3:14" x14ac:dyDescent="0.2">
      <c r="C1044" s="2"/>
      <c r="D1044" s="3"/>
      <c r="E1044" s="3"/>
      <c r="F1044" s="3"/>
      <c r="G1044" s="3"/>
      <c r="H1044" s="3"/>
      <c r="I1044" s="3"/>
      <c r="J1044" s="3"/>
      <c r="K1044" s="3"/>
      <c r="L1044" s="3"/>
      <c r="M1044" s="3"/>
      <c r="N1044" s="3"/>
    </row>
    <row r="1045" spans="3:14" x14ac:dyDescent="0.2">
      <c r="C1045" s="2"/>
      <c r="D1045" s="3"/>
      <c r="E1045" s="3"/>
      <c r="F1045" s="3"/>
      <c r="G1045" s="3"/>
      <c r="H1045" s="3"/>
      <c r="I1045" s="3"/>
      <c r="J1045" s="3"/>
      <c r="K1045" s="3"/>
      <c r="L1045" s="3"/>
      <c r="M1045" s="3"/>
      <c r="N1045" s="3"/>
    </row>
    <row r="1046" spans="3:14" x14ac:dyDescent="0.2">
      <c r="C1046" s="2"/>
      <c r="D1046" s="3"/>
      <c r="E1046" s="3"/>
      <c r="F1046" s="3"/>
      <c r="G1046" s="3"/>
      <c r="H1046" s="3"/>
      <c r="I1046" s="3"/>
      <c r="J1046" s="3"/>
      <c r="K1046" s="3"/>
      <c r="L1046" s="3"/>
      <c r="M1046" s="3"/>
      <c r="N1046" s="3"/>
    </row>
    <row r="1047" spans="3:14" x14ac:dyDescent="0.2">
      <c r="C1047" s="2"/>
      <c r="D1047" s="3"/>
      <c r="E1047" s="3"/>
      <c r="F1047" s="3"/>
      <c r="G1047" s="3"/>
      <c r="H1047" s="3"/>
      <c r="I1047" s="3"/>
      <c r="J1047" s="3"/>
      <c r="K1047" s="3"/>
      <c r="L1047" s="3"/>
      <c r="M1047" s="3"/>
      <c r="N1047" s="3"/>
    </row>
    <row r="1048" spans="3:14" x14ac:dyDescent="0.2">
      <c r="C1048" s="2"/>
      <c r="D1048" s="3"/>
      <c r="E1048" s="3"/>
      <c r="F1048" s="3"/>
      <c r="G1048" s="3"/>
      <c r="H1048" s="3"/>
      <c r="I1048" s="3"/>
      <c r="J1048" s="3"/>
      <c r="K1048" s="3"/>
      <c r="L1048" s="3"/>
      <c r="M1048" s="3"/>
      <c r="N1048" s="3"/>
    </row>
    <row r="1049" spans="3:14" x14ac:dyDescent="0.2">
      <c r="C1049" s="2"/>
      <c r="D1049" s="3"/>
      <c r="E1049" s="3"/>
      <c r="F1049" s="3"/>
      <c r="G1049" s="3"/>
      <c r="H1049" s="3"/>
      <c r="I1049" s="3"/>
      <c r="J1049" s="3"/>
      <c r="K1049" s="3"/>
      <c r="L1049" s="3"/>
      <c r="M1049" s="3"/>
      <c r="N1049" s="3"/>
    </row>
    <row r="1050" spans="3:14" x14ac:dyDescent="0.2">
      <c r="C1050" s="2"/>
      <c r="D1050" s="3"/>
      <c r="E1050" s="3"/>
      <c r="F1050" s="3"/>
      <c r="G1050" s="3"/>
      <c r="H1050" s="3"/>
      <c r="I1050" s="3"/>
      <c r="J1050" s="3"/>
      <c r="K1050" s="3"/>
      <c r="L1050" s="3"/>
      <c r="M1050" s="3"/>
      <c r="N1050" s="3"/>
    </row>
    <row r="1051" spans="3:14" x14ac:dyDescent="0.2">
      <c r="C1051" s="2"/>
      <c r="D1051" s="3"/>
      <c r="E1051" s="3"/>
      <c r="F1051" s="3"/>
      <c r="G1051" s="3"/>
      <c r="H1051" s="3"/>
      <c r="I1051" s="3"/>
      <c r="J1051" s="3"/>
      <c r="K1051" s="3"/>
      <c r="L1051" s="3"/>
      <c r="M1051" s="3"/>
      <c r="N1051" s="3"/>
    </row>
    <row r="1052" spans="3:14" x14ac:dyDescent="0.2">
      <c r="C1052" s="2"/>
      <c r="D1052" s="3"/>
      <c r="E1052" s="3"/>
      <c r="F1052" s="3"/>
      <c r="G1052" s="3"/>
      <c r="H1052" s="3"/>
      <c r="I1052" s="3"/>
      <c r="J1052" s="3"/>
      <c r="K1052" s="3"/>
      <c r="L1052" s="3"/>
      <c r="M1052" s="3"/>
      <c r="N1052" s="3"/>
    </row>
    <row r="1053" spans="3:14" x14ac:dyDescent="0.2">
      <c r="C1053" s="2"/>
      <c r="D1053" s="3"/>
      <c r="E1053" s="3"/>
      <c r="F1053" s="3"/>
      <c r="G1053" s="3"/>
      <c r="H1053" s="3"/>
      <c r="I1053" s="3"/>
      <c r="J1053" s="3"/>
      <c r="K1053" s="3"/>
      <c r="L1053" s="3"/>
      <c r="M1053" s="3"/>
      <c r="N1053" s="3"/>
    </row>
    <row r="1054" spans="3:14" x14ac:dyDescent="0.2">
      <c r="C1054" s="2"/>
      <c r="D1054" s="3"/>
      <c r="E1054" s="3"/>
      <c r="F1054" s="3"/>
      <c r="G1054" s="3"/>
      <c r="H1054" s="3"/>
      <c r="I1054" s="3"/>
      <c r="J1054" s="3"/>
      <c r="K1054" s="3"/>
      <c r="L1054" s="3"/>
      <c r="M1054" s="3"/>
      <c r="N1054" s="3"/>
    </row>
    <row r="1055" spans="3:14" x14ac:dyDescent="0.2">
      <c r="C1055" s="2"/>
      <c r="D1055" s="3"/>
      <c r="E1055" s="3"/>
      <c r="F1055" s="3"/>
      <c r="G1055" s="3"/>
      <c r="H1055" s="3"/>
      <c r="I1055" s="3"/>
      <c r="J1055" s="3"/>
      <c r="K1055" s="3"/>
      <c r="L1055" s="3"/>
      <c r="M1055" s="3"/>
      <c r="N1055" s="3"/>
    </row>
    <row r="1056" spans="3:14" x14ac:dyDescent="0.2">
      <c r="C1056" s="2"/>
      <c r="D1056" s="3"/>
      <c r="E1056" s="3"/>
      <c r="F1056" s="3"/>
      <c r="G1056" s="3"/>
      <c r="H1056" s="3"/>
      <c r="I1056" s="3"/>
      <c r="J1056" s="3"/>
      <c r="K1056" s="3"/>
      <c r="L1056" s="3"/>
      <c r="M1056" s="3"/>
      <c r="N1056" s="3"/>
    </row>
    <row r="1057" spans="3:14" x14ac:dyDescent="0.2">
      <c r="C1057" s="2"/>
      <c r="D1057" s="3"/>
      <c r="E1057" s="3"/>
      <c r="F1057" s="3"/>
      <c r="G1057" s="3"/>
      <c r="H1057" s="3"/>
      <c r="I1057" s="3"/>
      <c r="J1057" s="3"/>
      <c r="K1057" s="3"/>
      <c r="L1057" s="3"/>
      <c r="M1057" s="3"/>
      <c r="N1057" s="3"/>
    </row>
    <row r="1058" spans="3:14" x14ac:dyDescent="0.2">
      <c r="C1058" s="2"/>
      <c r="D1058" s="3"/>
      <c r="E1058" s="3"/>
      <c r="F1058" s="3"/>
      <c r="G1058" s="3"/>
      <c r="H1058" s="3"/>
      <c r="I1058" s="3"/>
      <c r="J1058" s="3"/>
      <c r="K1058" s="3"/>
      <c r="L1058" s="3"/>
      <c r="M1058" s="3"/>
      <c r="N1058" s="3"/>
    </row>
    <row r="1059" spans="3:14" x14ac:dyDescent="0.2">
      <c r="C1059" s="2"/>
      <c r="D1059" s="3"/>
      <c r="E1059" s="3"/>
      <c r="F1059" s="3"/>
      <c r="G1059" s="3"/>
      <c r="H1059" s="3"/>
      <c r="I1059" s="3"/>
      <c r="J1059" s="3"/>
      <c r="K1059" s="3"/>
      <c r="L1059" s="3"/>
      <c r="M1059" s="3"/>
      <c r="N1059" s="3"/>
    </row>
    <row r="1060" spans="3:14" x14ac:dyDescent="0.2">
      <c r="C1060" s="2"/>
      <c r="D1060" s="3"/>
      <c r="E1060" s="3"/>
      <c r="F1060" s="3"/>
      <c r="G1060" s="3"/>
      <c r="H1060" s="3"/>
      <c r="I1060" s="3"/>
      <c r="J1060" s="3"/>
      <c r="K1060" s="3"/>
      <c r="L1060" s="3"/>
      <c r="M1060" s="3"/>
      <c r="N1060" s="3"/>
    </row>
    <row r="1061" spans="3:14" x14ac:dyDescent="0.2">
      <c r="C1061" s="2"/>
      <c r="D1061" s="3"/>
      <c r="E1061" s="3"/>
      <c r="F1061" s="3"/>
      <c r="G1061" s="3"/>
      <c r="H1061" s="3"/>
      <c r="I1061" s="3"/>
      <c r="J1061" s="3"/>
      <c r="K1061" s="3"/>
      <c r="L1061" s="3"/>
      <c r="M1061" s="3"/>
      <c r="N1061" s="3"/>
    </row>
    <row r="1062" spans="3:14" x14ac:dyDescent="0.2">
      <c r="C1062" s="2"/>
      <c r="D1062" s="3"/>
      <c r="E1062" s="3"/>
      <c r="F1062" s="3"/>
      <c r="G1062" s="3"/>
      <c r="H1062" s="3"/>
      <c r="I1062" s="3"/>
      <c r="J1062" s="3"/>
      <c r="K1062" s="3"/>
      <c r="L1062" s="3"/>
      <c r="M1062" s="3"/>
      <c r="N1062" s="3"/>
    </row>
    <row r="1063" spans="3:14" x14ac:dyDescent="0.2">
      <c r="C1063" s="2"/>
      <c r="D1063" s="3"/>
      <c r="E1063" s="3"/>
      <c r="F1063" s="3"/>
      <c r="G1063" s="3"/>
      <c r="H1063" s="3"/>
      <c r="I1063" s="3"/>
      <c r="J1063" s="3"/>
      <c r="K1063" s="3"/>
      <c r="L1063" s="3"/>
      <c r="M1063" s="3"/>
      <c r="N1063" s="3"/>
    </row>
    <row r="1064" spans="3:14" x14ac:dyDescent="0.2">
      <c r="C1064" s="2"/>
      <c r="D1064" s="3"/>
      <c r="E1064" s="3"/>
      <c r="F1064" s="3"/>
      <c r="G1064" s="3"/>
      <c r="H1064" s="3"/>
      <c r="I1064" s="3"/>
      <c r="J1064" s="3"/>
      <c r="K1064" s="3"/>
      <c r="L1064" s="3"/>
      <c r="M1064" s="3"/>
      <c r="N1064" s="3"/>
    </row>
    <row r="1065" spans="3:14" x14ac:dyDescent="0.2">
      <c r="C1065" s="2"/>
      <c r="D1065" s="3"/>
      <c r="E1065" s="3"/>
      <c r="F1065" s="3"/>
      <c r="G1065" s="3"/>
      <c r="H1065" s="3"/>
      <c r="I1065" s="3"/>
      <c r="J1065" s="3"/>
      <c r="K1065" s="3"/>
      <c r="L1065" s="3"/>
      <c r="M1065" s="3"/>
      <c r="N1065" s="3"/>
    </row>
    <row r="1066" spans="3:14" x14ac:dyDescent="0.2">
      <c r="C1066" s="2"/>
      <c r="D1066" s="3"/>
      <c r="E1066" s="3"/>
      <c r="F1066" s="3"/>
      <c r="G1066" s="3"/>
      <c r="H1066" s="3"/>
      <c r="I1066" s="3"/>
      <c r="J1066" s="3"/>
      <c r="K1066" s="3"/>
      <c r="L1066" s="3"/>
      <c r="M1066" s="3"/>
      <c r="N1066" s="3"/>
    </row>
    <row r="1067" spans="3:14" x14ac:dyDescent="0.2">
      <c r="C1067" s="2"/>
      <c r="D1067" s="3"/>
      <c r="E1067" s="3"/>
      <c r="F1067" s="3"/>
      <c r="G1067" s="3"/>
      <c r="H1067" s="3"/>
      <c r="I1067" s="3"/>
      <c r="J1067" s="3"/>
      <c r="K1067" s="3"/>
      <c r="L1067" s="3"/>
      <c r="M1067" s="3"/>
      <c r="N1067" s="3"/>
    </row>
    <row r="1068" spans="3:14" x14ac:dyDescent="0.2">
      <c r="C1068" s="2"/>
      <c r="D1068" s="3"/>
      <c r="E1068" s="3"/>
      <c r="F1068" s="3"/>
      <c r="G1068" s="3"/>
      <c r="H1068" s="3"/>
      <c r="I1068" s="3"/>
      <c r="J1068" s="3"/>
      <c r="K1068" s="3"/>
      <c r="L1068" s="3"/>
      <c r="M1068" s="3"/>
      <c r="N1068" s="3"/>
    </row>
    <row r="1069" spans="3:14" x14ac:dyDescent="0.2">
      <c r="C1069" s="2"/>
      <c r="D1069" s="3"/>
      <c r="E1069" s="3"/>
      <c r="F1069" s="3"/>
      <c r="G1069" s="3"/>
      <c r="H1069" s="3"/>
      <c r="I1069" s="3"/>
      <c r="J1069" s="3"/>
      <c r="K1069" s="3"/>
      <c r="L1069" s="3"/>
      <c r="M1069" s="3"/>
      <c r="N1069" s="3"/>
    </row>
    <row r="1070" spans="3:14" x14ac:dyDescent="0.2">
      <c r="C1070" s="2"/>
      <c r="D1070" s="3"/>
      <c r="E1070" s="3"/>
      <c r="F1070" s="3"/>
      <c r="G1070" s="3"/>
      <c r="H1070" s="3"/>
      <c r="I1070" s="3"/>
      <c r="J1070" s="3"/>
      <c r="K1070" s="3"/>
      <c r="L1070" s="3"/>
      <c r="M1070" s="3"/>
      <c r="N1070" s="3"/>
    </row>
    <row r="1071" spans="3:14" x14ac:dyDescent="0.2">
      <c r="C1071" s="2"/>
      <c r="D1071" s="3"/>
      <c r="E1071" s="3"/>
      <c r="F1071" s="3"/>
      <c r="G1071" s="3"/>
      <c r="H1071" s="3"/>
      <c r="I1071" s="3"/>
      <c r="J1071" s="3"/>
      <c r="K1071" s="3"/>
      <c r="L1071" s="3"/>
      <c r="M1071" s="3"/>
      <c r="N1071" s="3"/>
    </row>
    <row r="1072" spans="3:14" x14ac:dyDescent="0.2">
      <c r="C1072" s="2"/>
      <c r="D1072" s="3"/>
      <c r="E1072" s="3"/>
      <c r="F1072" s="3"/>
      <c r="G1072" s="3"/>
      <c r="H1072" s="3"/>
      <c r="I1072" s="3"/>
      <c r="J1072" s="3"/>
      <c r="K1072" s="3"/>
      <c r="L1072" s="3"/>
      <c r="M1072" s="3"/>
      <c r="N1072" s="3"/>
    </row>
    <row r="1073" spans="3:14" x14ac:dyDescent="0.2">
      <c r="C1073" s="2"/>
      <c r="D1073" s="3"/>
      <c r="E1073" s="3"/>
      <c r="F1073" s="3"/>
      <c r="G1073" s="3"/>
      <c r="H1073" s="3"/>
      <c r="I1073" s="3"/>
      <c r="J1073" s="3"/>
      <c r="K1073" s="3"/>
      <c r="L1073" s="3"/>
      <c r="M1073" s="3"/>
      <c r="N1073" s="3"/>
    </row>
    <row r="1074" spans="3:14" x14ac:dyDescent="0.2">
      <c r="C1074" s="2"/>
      <c r="D1074" s="3"/>
      <c r="E1074" s="3"/>
      <c r="F1074" s="3"/>
      <c r="G1074" s="3"/>
      <c r="H1074" s="3"/>
      <c r="I1074" s="3"/>
      <c r="J1074" s="3"/>
      <c r="K1074" s="3"/>
      <c r="L1074" s="3"/>
      <c r="M1074" s="3"/>
      <c r="N1074" s="3"/>
    </row>
    <row r="1075" spans="3:14" x14ac:dyDescent="0.2">
      <c r="C1075" s="2"/>
      <c r="D1075" s="3"/>
      <c r="E1075" s="3"/>
      <c r="F1075" s="3"/>
      <c r="G1075" s="3"/>
      <c r="H1075" s="3"/>
      <c r="I1075" s="3"/>
      <c r="J1075" s="3"/>
      <c r="K1075" s="3"/>
      <c r="L1075" s="3"/>
      <c r="M1075" s="3"/>
      <c r="N1075" s="3"/>
    </row>
    <row r="1076" spans="3:14" x14ac:dyDescent="0.2">
      <c r="C1076" s="2"/>
      <c r="D1076" s="3"/>
      <c r="E1076" s="3"/>
      <c r="F1076" s="3"/>
      <c r="G1076" s="3"/>
      <c r="H1076" s="3"/>
      <c r="I1076" s="3"/>
      <c r="J1076" s="3"/>
      <c r="K1076" s="3"/>
      <c r="L1076" s="3"/>
      <c r="M1076" s="3"/>
      <c r="N1076" s="3"/>
    </row>
    <row r="1077" spans="3:14" x14ac:dyDescent="0.2">
      <c r="C1077" s="2"/>
      <c r="D1077" s="3"/>
      <c r="E1077" s="3"/>
      <c r="F1077" s="3"/>
      <c r="G1077" s="3"/>
      <c r="H1077" s="3"/>
      <c r="I1077" s="3"/>
      <c r="J1077" s="3"/>
      <c r="K1077" s="3"/>
      <c r="L1077" s="3"/>
      <c r="M1077" s="3"/>
      <c r="N1077" s="3"/>
    </row>
    <row r="1078" spans="3:14" x14ac:dyDescent="0.2">
      <c r="C1078" s="2"/>
      <c r="D1078" s="3"/>
      <c r="E1078" s="3"/>
      <c r="F1078" s="3"/>
      <c r="G1078" s="3"/>
      <c r="H1078" s="3"/>
      <c r="I1078" s="3"/>
      <c r="J1078" s="3"/>
      <c r="K1078" s="3"/>
      <c r="L1078" s="3"/>
      <c r="M1078" s="3"/>
      <c r="N1078" s="3"/>
    </row>
    <row r="1079" spans="3:14" x14ac:dyDescent="0.2">
      <c r="C1079" s="2"/>
      <c r="D1079" s="3"/>
      <c r="E1079" s="3"/>
      <c r="F1079" s="3"/>
      <c r="G1079" s="3"/>
      <c r="H1079" s="3"/>
      <c r="I1079" s="3"/>
      <c r="J1079" s="3"/>
      <c r="K1079" s="3"/>
      <c r="L1079" s="3"/>
      <c r="M1079" s="3"/>
      <c r="N1079" s="3"/>
    </row>
    <row r="1080" spans="3:14" x14ac:dyDescent="0.2">
      <c r="C1080" s="2"/>
      <c r="D1080" s="3"/>
      <c r="E1080" s="3"/>
      <c r="F1080" s="3"/>
      <c r="G1080" s="3"/>
      <c r="H1080" s="3"/>
      <c r="I1080" s="3"/>
      <c r="J1080" s="3"/>
      <c r="K1080" s="3"/>
      <c r="L1080" s="3"/>
      <c r="M1080" s="3"/>
      <c r="N1080" s="3"/>
    </row>
    <row r="1081" spans="3:14" x14ac:dyDescent="0.2">
      <c r="C1081" s="2"/>
      <c r="D1081" s="3"/>
      <c r="E1081" s="3"/>
      <c r="F1081" s="3"/>
      <c r="G1081" s="3"/>
      <c r="H1081" s="3"/>
      <c r="I1081" s="3"/>
      <c r="J1081" s="3"/>
      <c r="K1081" s="3"/>
      <c r="L1081" s="3"/>
      <c r="M1081" s="3"/>
      <c r="N1081" s="3"/>
    </row>
    <row r="1082" spans="3:14" x14ac:dyDescent="0.2">
      <c r="C1082" s="2"/>
      <c r="D1082" s="3"/>
      <c r="E1082" s="3"/>
      <c r="F1082" s="3"/>
      <c r="G1082" s="3"/>
      <c r="H1082" s="3"/>
      <c r="I1082" s="3"/>
      <c r="J1082" s="3"/>
      <c r="K1082" s="3"/>
      <c r="L1082" s="3"/>
      <c r="M1082" s="3"/>
      <c r="N1082" s="3"/>
    </row>
    <row r="1083" spans="3:14" x14ac:dyDescent="0.2">
      <c r="C1083" s="2"/>
      <c r="D1083" s="3"/>
      <c r="E1083" s="3"/>
      <c r="F1083" s="3"/>
      <c r="G1083" s="3"/>
      <c r="H1083" s="3"/>
      <c r="I1083" s="3"/>
      <c r="J1083" s="3"/>
      <c r="K1083" s="3"/>
      <c r="L1083" s="3"/>
      <c r="M1083" s="3"/>
      <c r="N1083" s="3"/>
    </row>
    <row r="1084" spans="3:14" x14ac:dyDescent="0.2">
      <c r="C1084" s="2"/>
      <c r="D1084" s="3"/>
      <c r="E1084" s="3"/>
      <c r="F1084" s="3"/>
      <c r="G1084" s="3"/>
      <c r="H1084" s="3"/>
      <c r="I1084" s="3"/>
      <c r="J1084" s="3"/>
      <c r="K1084" s="3"/>
      <c r="L1084" s="3"/>
      <c r="M1084" s="3"/>
      <c r="N1084" s="3"/>
    </row>
    <row r="1085" spans="3:14" x14ac:dyDescent="0.2">
      <c r="C1085" s="2"/>
      <c r="D1085" s="3"/>
      <c r="E1085" s="3"/>
      <c r="F1085" s="3"/>
      <c r="G1085" s="3"/>
      <c r="H1085" s="3"/>
      <c r="I1085" s="3"/>
      <c r="J1085" s="3"/>
      <c r="K1085" s="3"/>
      <c r="L1085" s="3"/>
      <c r="M1085" s="3"/>
      <c r="N1085" s="3"/>
    </row>
    <row r="1086" spans="3:14" x14ac:dyDescent="0.2">
      <c r="C1086" s="2"/>
      <c r="D1086" s="3"/>
      <c r="E1086" s="3"/>
      <c r="F1086" s="3"/>
      <c r="G1086" s="3"/>
      <c r="H1086" s="3"/>
      <c r="I1086" s="3"/>
      <c r="J1086" s="3"/>
      <c r="K1086" s="3"/>
      <c r="L1086" s="3"/>
      <c r="M1086" s="3"/>
      <c r="N1086" s="3"/>
    </row>
    <row r="1087" spans="3:14" x14ac:dyDescent="0.2">
      <c r="C1087" s="2"/>
      <c r="D1087" s="3"/>
      <c r="E1087" s="3"/>
      <c r="F1087" s="3"/>
      <c r="G1087" s="3"/>
      <c r="H1087" s="3"/>
      <c r="I1087" s="3"/>
      <c r="J1087" s="3"/>
      <c r="K1087" s="3"/>
      <c r="L1087" s="3"/>
      <c r="M1087" s="3"/>
      <c r="N1087" s="3"/>
    </row>
    <row r="1088" spans="3:14" x14ac:dyDescent="0.2">
      <c r="C1088" s="2"/>
      <c r="D1088" s="3"/>
      <c r="E1088" s="3"/>
      <c r="F1088" s="3"/>
      <c r="G1088" s="3"/>
      <c r="H1088" s="3"/>
      <c r="I1088" s="3"/>
      <c r="J1088" s="3"/>
      <c r="K1088" s="3"/>
      <c r="L1088" s="3"/>
      <c r="M1088" s="3"/>
      <c r="N1088" s="3"/>
    </row>
    <row r="1089" spans="3:14" x14ac:dyDescent="0.2">
      <c r="C1089" s="2"/>
      <c r="D1089" s="3"/>
      <c r="E1089" s="3"/>
      <c r="F1089" s="3"/>
      <c r="G1089" s="3"/>
      <c r="H1089" s="3"/>
      <c r="I1089" s="3"/>
      <c r="J1089" s="3"/>
      <c r="K1089" s="3"/>
      <c r="L1089" s="3"/>
      <c r="M1089" s="3"/>
      <c r="N1089" s="3"/>
    </row>
    <row r="1090" spans="3:14" x14ac:dyDescent="0.2">
      <c r="C1090" s="2"/>
      <c r="D1090" s="3"/>
      <c r="E1090" s="3"/>
      <c r="F1090" s="3"/>
      <c r="G1090" s="3"/>
      <c r="H1090" s="3"/>
      <c r="I1090" s="3"/>
      <c r="J1090" s="3"/>
      <c r="K1090" s="3"/>
      <c r="L1090" s="3"/>
      <c r="M1090" s="3"/>
      <c r="N1090" s="3"/>
    </row>
    <row r="1091" spans="3:14" x14ac:dyDescent="0.2">
      <c r="C1091" s="2"/>
      <c r="D1091" s="3"/>
      <c r="E1091" s="3"/>
      <c r="F1091" s="3"/>
      <c r="G1091" s="3"/>
      <c r="H1091" s="3"/>
      <c r="I1091" s="3"/>
      <c r="J1091" s="3"/>
      <c r="K1091" s="3"/>
      <c r="L1091" s="3"/>
      <c r="M1091" s="3"/>
      <c r="N1091" s="3"/>
    </row>
    <row r="1092" spans="3:14" x14ac:dyDescent="0.2">
      <c r="C1092" s="2"/>
      <c r="D1092" s="3"/>
      <c r="E1092" s="3"/>
      <c r="F1092" s="3"/>
      <c r="G1092" s="3"/>
      <c r="H1092" s="3"/>
      <c r="I1092" s="3"/>
      <c r="J1092" s="3"/>
      <c r="K1092" s="3"/>
      <c r="L1092" s="3"/>
      <c r="M1092" s="3"/>
      <c r="N1092" s="3"/>
    </row>
    <row r="1093" spans="3:14" x14ac:dyDescent="0.2">
      <c r="C1093" s="2"/>
      <c r="D1093" s="3"/>
      <c r="E1093" s="3"/>
      <c r="F1093" s="3"/>
      <c r="G1093" s="3"/>
      <c r="H1093" s="3"/>
      <c r="I1093" s="3"/>
      <c r="J1093" s="3"/>
      <c r="K1093" s="3"/>
      <c r="L1093" s="3"/>
      <c r="M1093" s="3"/>
      <c r="N1093" s="3"/>
    </row>
    <row r="1094" spans="3:14" x14ac:dyDescent="0.2">
      <c r="C1094" s="2"/>
      <c r="D1094" s="3"/>
      <c r="E1094" s="3"/>
      <c r="F1094" s="3"/>
      <c r="G1094" s="3"/>
      <c r="H1094" s="3"/>
      <c r="I1094" s="3"/>
      <c r="J1094" s="3"/>
      <c r="K1094" s="3"/>
      <c r="L1094" s="3"/>
      <c r="M1094" s="3"/>
      <c r="N1094" s="3"/>
    </row>
    <row r="1095" spans="3:14" x14ac:dyDescent="0.2">
      <c r="C1095" s="2"/>
      <c r="D1095" s="3"/>
      <c r="E1095" s="3"/>
      <c r="F1095" s="3"/>
      <c r="G1095" s="3"/>
      <c r="H1095" s="3"/>
      <c r="I1095" s="3"/>
      <c r="J1095" s="3"/>
      <c r="K1095" s="3"/>
      <c r="L1095" s="3"/>
      <c r="M1095" s="3"/>
      <c r="N1095" s="3"/>
    </row>
    <row r="1096" spans="3:14" x14ac:dyDescent="0.2">
      <c r="C1096" s="2"/>
      <c r="D1096" s="3"/>
      <c r="E1096" s="3"/>
      <c r="F1096" s="3"/>
      <c r="G1096" s="3"/>
      <c r="H1096" s="3"/>
      <c r="I1096" s="3"/>
      <c r="J1096" s="3"/>
      <c r="K1096" s="3"/>
      <c r="L1096" s="3"/>
      <c r="M1096" s="3"/>
      <c r="N1096" s="3"/>
    </row>
    <row r="1097" spans="3:14" x14ac:dyDescent="0.2">
      <c r="C1097" s="2"/>
      <c r="D1097" s="3"/>
      <c r="E1097" s="3"/>
      <c r="F1097" s="3"/>
      <c r="G1097" s="3"/>
      <c r="H1097" s="3"/>
      <c r="I1097" s="3"/>
      <c r="J1097" s="3"/>
      <c r="K1097" s="3"/>
      <c r="L1097" s="3"/>
      <c r="M1097" s="3"/>
      <c r="N1097" s="3"/>
    </row>
    <row r="1098" spans="3:14" x14ac:dyDescent="0.2">
      <c r="C1098" s="2"/>
      <c r="D1098" s="3"/>
      <c r="E1098" s="3"/>
      <c r="F1098" s="3"/>
      <c r="G1098" s="3"/>
      <c r="H1098" s="3"/>
      <c r="I1098" s="3"/>
      <c r="J1098" s="3"/>
      <c r="K1098" s="3"/>
      <c r="L1098" s="3"/>
      <c r="M1098" s="3"/>
      <c r="N1098" s="3"/>
    </row>
    <row r="1099" spans="3:14" x14ac:dyDescent="0.2">
      <c r="C1099" s="2"/>
      <c r="D1099" s="3"/>
      <c r="E1099" s="3"/>
      <c r="F1099" s="3"/>
      <c r="G1099" s="3"/>
      <c r="H1099" s="3"/>
      <c r="I1099" s="3"/>
      <c r="J1099" s="3"/>
      <c r="K1099" s="3"/>
      <c r="L1099" s="3"/>
      <c r="M1099" s="3"/>
      <c r="N1099" s="3"/>
    </row>
    <row r="1100" spans="3:14" x14ac:dyDescent="0.2">
      <c r="C1100" s="2"/>
      <c r="D1100" s="3"/>
      <c r="E1100" s="3"/>
      <c r="F1100" s="3"/>
      <c r="G1100" s="3"/>
      <c r="H1100" s="3"/>
      <c r="I1100" s="3"/>
      <c r="J1100" s="3"/>
      <c r="K1100" s="3"/>
      <c r="L1100" s="3"/>
      <c r="M1100" s="3"/>
      <c r="N1100" s="3"/>
    </row>
    <row r="1101" spans="3:14" x14ac:dyDescent="0.2">
      <c r="C1101" s="2"/>
      <c r="D1101" s="3"/>
      <c r="E1101" s="3"/>
      <c r="F1101" s="3"/>
      <c r="G1101" s="3"/>
      <c r="H1101" s="3"/>
      <c r="I1101" s="3"/>
      <c r="J1101" s="3"/>
      <c r="K1101" s="3"/>
      <c r="L1101" s="3"/>
      <c r="M1101" s="3"/>
      <c r="N1101" s="3"/>
    </row>
    <row r="1102" spans="3:14" x14ac:dyDescent="0.2">
      <c r="C1102" s="2"/>
      <c r="D1102" s="3"/>
      <c r="E1102" s="3"/>
      <c r="F1102" s="3"/>
      <c r="G1102" s="3"/>
      <c r="H1102" s="3"/>
      <c r="I1102" s="3"/>
      <c r="J1102" s="3"/>
      <c r="K1102" s="3"/>
      <c r="L1102" s="3"/>
      <c r="M1102" s="3"/>
      <c r="N1102" s="3"/>
    </row>
    <row r="1103" spans="3:14" x14ac:dyDescent="0.2">
      <c r="C1103" s="2"/>
      <c r="D1103" s="3"/>
      <c r="E1103" s="3"/>
      <c r="F1103" s="3"/>
      <c r="G1103" s="3"/>
      <c r="H1103" s="3"/>
      <c r="I1103" s="3"/>
      <c r="J1103" s="3"/>
      <c r="K1103" s="3"/>
      <c r="L1103" s="3"/>
      <c r="M1103" s="3"/>
      <c r="N1103" s="3"/>
    </row>
    <row r="1104" spans="3:14" x14ac:dyDescent="0.2">
      <c r="C1104" s="2"/>
      <c r="D1104" s="3"/>
      <c r="E1104" s="3"/>
      <c r="F1104" s="3"/>
      <c r="G1104" s="3"/>
      <c r="H1104" s="3"/>
      <c r="I1104" s="3"/>
      <c r="J1104" s="3"/>
      <c r="K1104" s="3"/>
      <c r="L1104" s="3"/>
      <c r="M1104" s="3"/>
      <c r="N1104" s="3"/>
    </row>
    <row r="1105" spans="3:14" x14ac:dyDescent="0.2">
      <c r="C1105" s="2"/>
      <c r="D1105" s="3"/>
      <c r="E1105" s="3"/>
      <c r="F1105" s="3"/>
      <c r="G1105" s="3"/>
      <c r="H1105" s="3"/>
      <c r="I1105" s="3"/>
      <c r="J1105" s="3"/>
      <c r="K1105" s="3"/>
      <c r="L1105" s="3"/>
      <c r="M1105" s="3"/>
      <c r="N1105" s="3"/>
    </row>
    <row r="1106" spans="3:14" x14ac:dyDescent="0.2">
      <c r="C1106" s="2"/>
      <c r="D1106" s="3"/>
      <c r="E1106" s="3"/>
      <c r="F1106" s="3"/>
      <c r="G1106" s="3"/>
      <c r="H1106" s="3"/>
      <c r="I1106" s="3"/>
      <c r="J1106" s="3"/>
      <c r="K1106" s="3"/>
      <c r="L1106" s="3"/>
      <c r="M1106" s="3"/>
      <c r="N1106" s="3"/>
    </row>
    <row r="1107" spans="3:14" x14ac:dyDescent="0.2">
      <c r="C1107" s="2"/>
      <c r="D1107" s="3"/>
      <c r="E1107" s="3"/>
      <c r="F1107" s="3"/>
      <c r="G1107" s="3"/>
      <c r="H1107" s="3"/>
      <c r="I1107" s="3"/>
      <c r="J1107" s="3"/>
      <c r="K1107" s="3"/>
      <c r="L1107" s="3"/>
      <c r="M1107" s="3"/>
      <c r="N1107" s="3"/>
    </row>
    <row r="1108" spans="3:14" x14ac:dyDescent="0.2">
      <c r="C1108" s="2"/>
      <c r="D1108" s="3"/>
      <c r="E1108" s="3"/>
      <c r="F1108" s="3"/>
      <c r="G1108" s="3"/>
      <c r="H1108" s="3"/>
      <c r="I1108" s="3"/>
      <c r="J1108" s="3"/>
      <c r="K1108" s="3"/>
      <c r="L1108" s="3"/>
      <c r="M1108" s="3"/>
      <c r="N1108" s="3"/>
    </row>
    <row r="1109" spans="3:14" x14ac:dyDescent="0.2">
      <c r="C1109" s="2"/>
      <c r="D1109" s="3"/>
      <c r="E1109" s="3"/>
      <c r="F1109" s="3"/>
      <c r="G1109" s="3"/>
      <c r="H1109" s="3"/>
      <c r="I1109" s="3"/>
      <c r="J1109" s="3"/>
      <c r="K1109" s="3"/>
      <c r="L1109" s="3"/>
      <c r="M1109" s="3"/>
      <c r="N1109" s="3"/>
    </row>
    <row r="1110" spans="3:14" x14ac:dyDescent="0.2">
      <c r="C1110" s="2"/>
      <c r="D1110" s="3"/>
      <c r="E1110" s="3"/>
      <c r="F1110" s="3"/>
      <c r="G1110" s="3"/>
      <c r="H1110" s="3"/>
      <c r="I1110" s="3"/>
      <c r="J1110" s="3"/>
      <c r="K1110" s="3"/>
      <c r="L1110" s="3"/>
      <c r="M1110" s="3"/>
      <c r="N1110" s="3"/>
    </row>
    <row r="1111" spans="3:14" x14ac:dyDescent="0.2">
      <c r="C1111" s="2"/>
      <c r="D1111" s="3"/>
      <c r="E1111" s="3"/>
      <c r="F1111" s="3"/>
      <c r="G1111" s="3"/>
      <c r="H1111" s="3"/>
      <c r="I1111" s="3"/>
      <c r="J1111" s="3"/>
      <c r="K1111" s="3"/>
      <c r="L1111" s="3"/>
      <c r="M1111" s="3"/>
      <c r="N1111" s="3"/>
    </row>
    <row r="1112" spans="3:14" x14ac:dyDescent="0.2">
      <c r="C1112" s="2"/>
      <c r="D1112" s="3"/>
      <c r="E1112" s="3"/>
      <c r="F1112" s="3"/>
      <c r="G1112" s="3"/>
      <c r="H1112" s="3"/>
      <c r="I1112" s="3"/>
      <c r="J1112" s="3"/>
      <c r="K1112" s="3"/>
      <c r="L1112" s="3"/>
      <c r="M1112" s="3"/>
      <c r="N1112" s="3"/>
    </row>
    <row r="1113" spans="3:14" x14ac:dyDescent="0.2">
      <c r="C1113" s="2"/>
      <c r="D1113" s="3"/>
      <c r="E1113" s="3"/>
      <c r="F1113" s="3"/>
      <c r="G1113" s="3"/>
      <c r="H1113" s="3"/>
      <c r="I1113" s="3"/>
      <c r="J1113" s="3"/>
      <c r="K1113" s="3"/>
      <c r="L1113" s="3"/>
      <c r="M1113" s="3"/>
      <c r="N1113" s="3"/>
    </row>
    <row r="1114" spans="3:14" x14ac:dyDescent="0.2">
      <c r="C1114" s="2"/>
      <c r="D1114" s="3"/>
      <c r="E1114" s="3"/>
      <c r="F1114" s="3"/>
      <c r="G1114" s="3"/>
      <c r="H1114" s="3"/>
      <c r="I1114" s="3"/>
      <c r="J1114" s="3"/>
      <c r="K1114" s="3"/>
      <c r="L1114" s="3"/>
      <c r="M1114" s="3"/>
      <c r="N1114" s="3"/>
    </row>
    <row r="1115" spans="3:14" x14ac:dyDescent="0.2">
      <c r="C1115" s="2"/>
      <c r="D1115" s="3"/>
      <c r="E1115" s="3"/>
      <c r="F1115" s="3"/>
      <c r="G1115" s="3"/>
      <c r="H1115" s="3"/>
      <c r="I1115" s="3"/>
      <c r="J1115" s="3"/>
      <c r="K1115" s="3"/>
      <c r="L1115" s="3"/>
      <c r="M1115" s="3"/>
      <c r="N1115" s="3"/>
    </row>
    <row r="1116" spans="3:14" x14ac:dyDescent="0.2">
      <c r="C1116" s="2"/>
      <c r="D1116" s="3"/>
      <c r="E1116" s="3"/>
      <c r="F1116" s="3"/>
      <c r="G1116" s="3"/>
      <c r="H1116" s="3"/>
      <c r="I1116" s="3"/>
      <c r="J1116" s="3"/>
      <c r="K1116" s="3"/>
      <c r="L1116" s="3"/>
      <c r="M1116" s="3"/>
      <c r="N1116" s="3"/>
    </row>
    <row r="1117" spans="3:14" x14ac:dyDescent="0.2">
      <c r="C1117" s="2"/>
      <c r="D1117" s="3"/>
      <c r="E1117" s="3"/>
      <c r="F1117" s="3"/>
      <c r="G1117" s="3"/>
      <c r="H1117" s="3"/>
      <c r="I1117" s="3"/>
      <c r="J1117" s="3"/>
      <c r="K1117" s="3"/>
      <c r="L1117" s="3"/>
      <c r="M1117" s="3"/>
      <c r="N1117" s="3"/>
    </row>
    <row r="1118" spans="3:14" x14ac:dyDescent="0.2">
      <c r="C1118" s="2"/>
      <c r="D1118" s="3"/>
      <c r="E1118" s="3"/>
      <c r="F1118" s="3"/>
      <c r="G1118" s="3"/>
      <c r="H1118" s="3"/>
      <c r="I1118" s="3"/>
      <c r="J1118" s="3"/>
      <c r="K1118" s="3"/>
      <c r="L1118" s="3"/>
      <c r="M1118" s="3"/>
      <c r="N1118" s="3"/>
    </row>
    <row r="1119" spans="3:14" x14ac:dyDescent="0.2">
      <c r="C1119" s="2"/>
      <c r="D1119" s="3"/>
      <c r="E1119" s="3"/>
      <c r="F1119" s="3"/>
      <c r="G1119" s="3"/>
      <c r="H1119" s="3"/>
      <c r="I1119" s="3"/>
      <c r="J1119" s="3"/>
      <c r="K1119" s="3"/>
      <c r="L1119" s="3"/>
      <c r="M1119" s="3"/>
      <c r="N1119" s="3"/>
    </row>
    <row r="1120" spans="3:14" x14ac:dyDescent="0.2">
      <c r="C1120" s="2"/>
      <c r="D1120" s="3"/>
      <c r="E1120" s="3"/>
      <c r="F1120" s="3"/>
      <c r="G1120" s="3"/>
      <c r="H1120" s="3"/>
      <c r="I1120" s="3"/>
      <c r="J1120" s="3"/>
      <c r="K1120" s="3"/>
      <c r="L1120" s="3"/>
      <c r="M1120" s="3"/>
      <c r="N1120" s="3"/>
    </row>
    <row r="1121" spans="3:14" x14ac:dyDescent="0.2">
      <c r="C1121" s="2"/>
      <c r="D1121" s="3"/>
      <c r="E1121" s="3"/>
      <c r="F1121" s="3"/>
      <c r="G1121" s="3"/>
      <c r="H1121" s="3"/>
      <c r="I1121" s="3"/>
      <c r="J1121" s="3"/>
      <c r="K1121" s="3"/>
      <c r="L1121" s="3"/>
      <c r="M1121" s="3"/>
      <c r="N1121" s="3"/>
    </row>
    <row r="1122" spans="3:14" x14ac:dyDescent="0.2">
      <c r="C1122" s="2"/>
      <c r="D1122" s="3"/>
      <c r="E1122" s="3"/>
      <c r="F1122" s="3"/>
      <c r="G1122" s="3"/>
      <c r="H1122" s="3"/>
      <c r="I1122" s="3"/>
      <c r="J1122" s="3"/>
      <c r="K1122" s="3"/>
      <c r="L1122" s="3"/>
      <c r="M1122" s="3"/>
      <c r="N1122" s="3"/>
    </row>
    <row r="1123" spans="3:14" x14ac:dyDescent="0.2">
      <c r="C1123" s="2"/>
      <c r="D1123" s="3"/>
      <c r="E1123" s="3"/>
      <c r="F1123" s="3"/>
      <c r="G1123" s="3"/>
      <c r="H1123" s="3"/>
      <c r="I1123" s="3"/>
      <c r="J1123" s="3"/>
      <c r="K1123" s="3"/>
      <c r="L1123" s="3"/>
      <c r="M1123" s="3"/>
      <c r="N1123" s="3"/>
    </row>
    <row r="1124" spans="3:14" x14ac:dyDescent="0.2">
      <c r="C1124" s="2"/>
      <c r="D1124" s="3"/>
      <c r="E1124" s="3"/>
      <c r="F1124" s="3"/>
      <c r="G1124" s="3"/>
      <c r="H1124" s="3"/>
      <c r="I1124" s="3"/>
      <c r="J1124" s="3"/>
      <c r="K1124" s="3"/>
      <c r="L1124" s="3"/>
      <c r="M1124" s="3"/>
      <c r="N1124" s="3"/>
    </row>
    <row r="1125" spans="3:14" x14ac:dyDescent="0.2">
      <c r="C1125" s="2"/>
      <c r="D1125" s="3"/>
      <c r="E1125" s="3"/>
      <c r="F1125" s="3"/>
      <c r="G1125" s="3"/>
      <c r="H1125" s="3"/>
      <c r="I1125" s="3"/>
      <c r="J1125" s="3"/>
      <c r="K1125" s="3"/>
      <c r="L1125" s="3"/>
      <c r="M1125" s="3"/>
      <c r="N1125" s="3"/>
    </row>
    <row r="1126" spans="3:14" x14ac:dyDescent="0.2">
      <c r="C1126" s="2"/>
      <c r="D1126" s="3"/>
      <c r="E1126" s="3"/>
      <c r="F1126" s="3"/>
      <c r="G1126" s="3"/>
      <c r="H1126" s="3"/>
      <c r="I1126" s="3"/>
      <c r="J1126" s="3"/>
      <c r="K1126" s="3"/>
      <c r="L1126" s="3"/>
      <c r="M1126" s="3"/>
      <c r="N1126" s="3"/>
    </row>
    <row r="1127" spans="3:14" x14ac:dyDescent="0.2">
      <c r="C1127" s="2"/>
      <c r="D1127" s="3"/>
      <c r="E1127" s="3"/>
      <c r="F1127" s="3"/>
      <c r="G1127" s="3"/>
      <c r="H1127" s="3"/>
      <c r="I1127" s="3"/>
      <c r="J1127" s="3"/>
      <c r="K1127" s="3"/>
      <c r="L1127" s="3"/>
      <c r="M1127" s="3"/>
      <c r="N1127" s="3"/>
    </row>
    <row r="1128" spans="3:14" x14ac:dyDescent="0.2">
      <c r="C1128" s="2"/>
      <c r="D1128" s="3"/>
      <c r="E1128" s="3"/>
      <c r="F1128" s="3"/>
      <c r="G1128" s="3"/>
      <c r="H1128" s="3"/>
      <c r="I1128" s="3"/>
      <c r="J1128" s="3"/>
      <c r="K1128" s="3"/>
      <c r="L1128" s="3"/>
      <c r="M1128" s="3"/>
      <c r="N1128" s="3"/>
    </row>
    <row r="1129" spans="3:14" x14ac:dyDescent="0.2">
      <c r="C1129" s="2"/>
      <c r="D1129" s="3"/>
      <c r="E1129" s="3"/>
      <c r="F1129" s="3"/>
      <c r="G1129" s="3"/>
      <c r="H1129" s="3"/>
      <c r="I1129" s="3"/>
      <c r="J1129" s="3"/>
      <c r="K1129" s="3"/>
      <c r="L1129" s="3"/>
      <c r="M1129" s="3"/>
      <c r="N1129" s="3"/>
    </row>
    <row r="1130" spans="3:14" x14ac:dyDescent="0.2">
      <c r="C1130" s="2"/>
      <c r="D1130" s="3"/>
      <c r="E1130" s="3"/>
      <c r="F1130" s="3"/>
      <c r="G1130" s="3"/>
      <c r="H1130" s="3"/>
      <c r="I1130" s="3"/>
      <c r="J1130" s="3"/>
      <c r="K1130" s="3"/>
      <c r="L1130" s="3"/>
      <c r="M1130" s="3"/>
      <c r="N1130" s="3"/>
    </row>
    <row r="1131" spans="3:14" x14ac:dyDescent="0.2">
      <c r="C1131" s="2"/>
      <c r="D1131" s="3"/>
      <c r="E1131" s="3"/>
      <c r="F1131" s="3"/>
      <c r="G1131" s="3"/>
      <c r="H1131" s="3"/>
      <c r="I1131" s="3"/>
      <c r="J1131" s="3"/>
      <c r="K1131" s="3"/>
      <c r="L1131" s="3"/>
      <c r="M1131" s="3"/>
      <c r="N1131" s="3"/>
    </row>
    <row r="1132" spans="3:14" x14ac:dyDescent="0.2">
      <c r="C1132" s="2"/>
      <c r="D1132" s="3"/>
      <c r="E1132" s="3"/>
      <c r="F1132" s="3"/>
      <c r="G1132" s="3"/>
      <c r="H1132" s="3"/>
      <c r="I1132" s="3"/>
      <c r="J1132" s="3"/>
      <c r="K1132" s="3"/>
      <c r="L1132" s="3"/>
      <c r="M1132" s="3"/>
      <c r="N1132" s="3"/>
    </row>
    <row r="1133" spans="3:14" x14ac:dyDescent="0.2">
      <c r="C1133" s="2"/>
      <c r="D1133" s="3"/>
      <c r="E1133" s="3"/>
      <c r="F1133" s="3"/>
      <c r="G1133" s="3"/>
      <c r="H1133" s="3"/>
      <c r="I1133" s="3"/>
      <c r="J1133" s="3"/>
      <c r="K1133" s="3"/>
      <c r="L1133" s="3"/>
      <c r="M1133" s="3"/>
      <c r="N1133" s="3"/>
    </row>
    <row r="1134" spans="3:14" x14ac:dyDescent="0.2">
      <c r="C1134" s="2"/>
      <c r="D1134" s="3"/>
      <c r="E1134" s="3"/>
      <c r="F1134" s="3"/>
      <c r="G1134" s="3"/>
      <c r="H1134" s="3"/>
      <c r="I1134" s="3"/>
      <c r="J1134" s="3"/>
      <c r="K1134" s="3"/>
      <c r="L1134" s="3"/>
      <c r="M1134" s="3"/>
      <c r="N1134" s="3"/>
    </row>
    <row r="1135" spans="3:14" x14ac:dyDescent="0.2">
      <c r="C1135" s="2"/>
      <c r="D1135" s="3"/>
      <c r="E1135" s="3"/>
      <c r="F1135" s="3"/>
      <c r="G1135" s="3"/>
      <c r="H1135" s="3"/>
      <c r="I1135" s="3"/>
      <c r="J1135" s="3"/>
      <c r="K1135" s="3"/>
      <c r="L1135" s="3"/>
      <c r="M1135" s="3"/>
      <c r="N1135" s="3"/>
    </row>
    <row r="1136" spans="3:14" x14ac:dyDescent="0.2">
      <c r="C1136" s="2"/>
      <c r="D1136" s="3"/>
      <c r="E1136" s="3"/>
      <c r="F1136" s="3"/>
      <c r="G1136" s="3"/>
      <c r="H1136" s="3"/>
      <c r="I1136" s="3"/>
      <c r="J1136" s="3"/>
      <c r="K1136" s="3"/>
      <c r="L1136" s="3"/>
      <c r="M1136" s="3"/>
      <c r="N1136" s="3"/>
    </row>
    <row r="1137" spans="3:14" x14ac:dyDescent="0.2">
      <c r="C1137" s="2"/>
      <c r="D1137" s="3"/>
      <c r="E1137" s="3"/>
      <c r="F1137" s="3"/>
      <c r="G1137" s="3"/>
      <c r="H1137" s="3"/>
      <c r="I1137" s="3"/>
      <c r="J1137" s="3"/>
      <c r="K1137" s="3"/>
      <c r="L1137" s="3"/>
      <c r="M1137" s="3"/>
      <c r="N1137" s="3"/>
    </row>
    <row r="1138" spans="3:14" x14ac:dyDescent="0.2">
      <c r="C1138" s="2"/>
      <c r="D1138" s="3"/>
      <c r="E1138" s="3"/>
      <c r="F1138" s="3"/>
      <c r="G1138" s="3"/>
      <c r="H1138" s="3"/>
      <c r="I1138" s="3"/>
      <c r="J1138" s="3"/>
      <c r="K1138" s="3"/>
      <c r="L1138" s="3"/>
      <c r="M1138" s="3"/>
      <c r="N1138" s="3"/>
    </row>
    <row r="1139" spans="3:14" x14ac:dyDescent="0.2">
      <c r="C1139" s="2"/>
      <c r="D1139" s="3"/>
      <c r="E1139" s="3"/>
      <c r="F1139" s="3"/>
      <c r="G1139" s="3"/>
      <c r="H1139" s="3"/>
      <c r="I1139" s="3"/>
      <c r="J1139" s="3"/>
      <c r="K1139" s="3"/>
      <c r="L1139" s="3"/>
      <c r="M1139" s="3"/>
      <c r="N1139" s="3"/>
    </row>
    <row r="1140" spans="3:14" x14ac:dyDescent="0.2">
      <c r="C1140" s="2"/>
      <c r="D1140" s="3"/>
      <c r="E1140" s="3"/>
      <c r="F1140" s="3"/>
      <c r="G1140" s="3"/>
      <c r="H1140" s="3"/>
      <c r="I1140" s="3"/>
      <c r="J1140" s="3"/>
      <c r="K1140" s="3"/>
      <c r="L1140" s="3"/>
      <c r="M1140" s="3"/>
      <c r="N1140" s="3"/>
    </row>
    <row r="1141" spans="3:14" x14ac:dyDescent="0.2">
      <c r="C1141" s="2"/>
      <c r="D1141" s="3"/>
      <c r="E1141" s="3"/>
      <c r="F1141" s="3"/>
      <c r="G1141" s="3"/>
      <c r="H1141" s="3"/>
      <c r="I1141" s="3"/>
      <c r="J1141" s="3"/>
      <c r="K1141" s="3"/>
      <c r="L1141" s="3"/>
      <c r="M1141" s="3"/>
      <c r="N1141" s="3"/>
    </row>
    <row r="1142" spans="3:14" x14ac:dyDescent="0.2">
      <c r="C1142" s="2"/>
      <c r="D1142" s="3"/>
      <c r="E1142" s="3"/>
      <c r="F1142" s="3"/>
      <c r="G1142" s="3"/>
      <c r="H1142" s="3"/>
      <c r="I1142" s="3"/>
      <c r="J1142" s="3"/>
      <c r="K1142" s="3"/>
      <c r="L1142" s="3"/>
      <c r="M1142" s="3"/>
      <c r="N1142" s="3"/>
    </row>
    <row r="1143" spans="3:14" x14ac:dyDescent="0.2">
      <c r="C1143" s="2"/>
      <c r="D1143" s="3"/>
      <c r="E1143" s="3"/>
      <c r="F1143" s="3"/>
      <c r="G1143" s="3"/>
      <c r="H1143" s="3"/>
      <c r="I1143" s="3"/>
      <c r="J1143" s="3"/>
      <c r="K1143" s="3"/>
      <c r="L1143" s="3"/>
      <c r="M1143" s="3"/>
      <c r="N1143" s="3"/>
    </row>
    <row r="1144" spans="3:14" x14ac:dyDescent="0.2">
      <c r="C1144" s="2"/>
      <c r="D1144" s="3"/>
      <c r="E1144" s="3"/>
      <c r="F1144" s="3"/>
      <c r="G1144" s="3"/>
      <c r="H1144" s="3"/>
      <c r="I1144" s="3"/>
      <c r="J1144" s="3"/>
      <c r="K1144" s="3"/>
      <c r="L1144" s="3"/>
      <c r="M1144" s="3"/>
      <c r="N1144" s="3"/>
    </row>
    <row r="1145" spans="3:14" x14ac:dyDescent="0.2">
      <c r="C1145" s="2"/>
      <c r="D1145" s="3"/>
      <c r="E1145" s="3"/>
      <c r="F1145" s="3"/>
      <c r="G1145" s="3"/>
      <c r="H1145" s="3"/>
      <c r="I1145" s="3"/>
      <c r="J1145" s="3"/>
      <c r="K1145" s="3"/>
      <c r="L1145" s="3"/>
      <c r="M1145" s="3"/>
      <c r="N1145" s="3"/>
    </row>
    <row r="1146" spans="3:14" x14ac:dyDescent="0.2">
      <c r="C1146" s="2"/>
      <c r="D1146" s="3"/>
      <c r="E1146" s="3"/>
      <c r="F1146" s="3"/>
      <c r="G1146" s="3"/>
      <c r="H1146" s="3"/>
      <c r="I1146" s="3"/>
      <c r="J1146" s="3"/>
      <c r="K1146" s="3"/>
      <c r="L1146" s="3"/>
      <c r="M1146" s="3"/>
      <c r="N1146" s="3"/>
    </row>
    <row r="1147" spans="3:14" x14ac:dyDescent="0.2">
      <c r="C1147" s="2"/>
      <c r="D1147" s="3"/>
      <c r="E1147" s="3"/>
      <c r="F1147" s="3"/>
      <c r="G1147" s="3"/>
      <c r="H1147" s="3"/>
      <c r="I1147" s="3"/>
      <c r="J1147" s="3"/>
      <c r="K1147" s="3"/>
      <c r="L1147" s="3"/>
      <c r="M1147" s="3"/>
      <c r="N1147" s="3"/>
    </row>
    <row r="1148" spans="3:14" x14ac:dyDescent="0.2">
      <c r="C1148" s="2"/>
      <c r="D1148" s="3"/>
      <c r="E1148" s="3"/>
      <c r="F1148" s="3"/>
      <c r="G1148" s="3"/>
      <c r="H1148" s="3"/>
      <c r="I1148" s="3"/>
      <c r="J1148" s="3"/>
      <c r="K1148" s="3"/>
      <c r="L1148" s="3"/>
      <c r="M1148" s="3"/>
      <c r="N1148" s="3"/>
    </row>
    <row r="1149" spans="3:14" x14ac:dyDescent="0.2">
      <c r="C1149" s="2"/>
      <c r="D1149" s="3"/>
      <c r="E1149" s="3"/>
      <c r="F1149" s="3"/>
      <c r="G1149" s="3"/>
      <c r="H1149" s="3"/>
      <c r="I1149" s="3"/>
      <c r="J1149" s="3"/>
      <c r="K1149" s="3"/>
      <c r="L1149" s="3"/>
      <c r="M1149" s="3"/>
      <c r="N1149" s="3"/>
    </row>
    <row r="1150" spans="3:14" x14ac:dyDescent="0.2">
      <c r="C1150" s="2"/>
      <c r="D1150" s="3"/>
      <c r="E1150" s="3"/>
      <c r="F1150" s="3"/>
      <c r="G1150" s="3"/>
      <c r="H1150" s="3"/>
      <c r="I1150" s="3"/>
      <c r="J1150" s="3"/>
      <c r="K1150" s="3"/>
      <c r="L1150" s="3"/>
      <c r="M1150" s="3"/>
      <c r="N1150" s="3"/>
    </row>
    <row r="1151" spans="3:14" x14ac:dyDescent="0.2">
      <c r="C1151" s="2"/>
      <c r="D1151" s="3"/>
      <c r="E1151" s="3"/>
      <c r="F1151" s="3"/>
      <c r="G1151" s="3"/>
      <c r="H1151" s="3"/>
      <c r="I1151" s="3"/>
      <c r="J1151" s="3"/>
      <c r="K1151" s="3"/>
      <c r="L1151" s="3"/>
      <c r="M1151" s="3"/>
      <c r="N1151" s="3"/>
    </row>
    <row r="1152" spans="3:14" x14ac:dyDescent="0.2">
      <c r="C1152" s="2"/>
      <c r="D1152" s="3"/>
      <c r="E1152" s="3"/>
      <c r="F1152" s="3"/>
      <c r="G1152" s="3"/>
      <c r="H1152" s="3"/>
      <c r="I1152" s="3"/>
      <c r="J1152" s="3"/>
      <c r="K1152" s="3"/>
      <c r="L1152" s="3"/>
      <c r="M1152" s="3"/>
      <c r="N1152" s="3"/>
    </row>
    <row r="1153" spans="3:14" x14ac:dyDescent="0.2">
      <c r="C1153" s="2"/>
      <c r="D1153" s="3"/>
      <c r="E1153" s="3"/>
      <c r="F1153" s="3"/>
      <c r="G1153" s="3"/>
      <c r="H1153" s="3"/>
      <c r="I1153" s="3"/>
      <c r="J1153" s="3"/>
      <c r="K1153" s="3"/>
      <c r="L1153" s="3"/>
      <c r="M1153" s="3"/>
      <c r="N1153" s="3"/>
    </row>
    <row r="1154" spans="3:14" x14ac:dyDescent="0.2">
      <c r="C1154" s="2"/>
      <c r="D1154" s="3"/>
      <c r="E1154" s="3"/>
      <c r="F1154" s="3"/>
      <c r="G1154" s="3"/>
      <c r="H1154" s="3"/>
      <c r="I1154" s="3"/>
      <c r="J1154" s="3"/>
      <c r="K1154" s="3"/>
      <c r="L1154" s="3"/>
      <c r="M1154" s="3"/>
      <c r="N1154" s="3"/>
    </row>
    <row r="1155" spans="3:14" x14ac:dyDescent="0.2">
      <c r="C1155" s="2"/>
      <c r="D1155" s="3"/>
      <c r="E1155" s="3"/>
      <c r="F1155" s="3"/>
      <c r="G1155" s="3"/>
      <c r="H1155" s="3"/>
      <c r="I1155" s="3"/>
      <c r="J1155" s="3"/>
      <c r="K1155" s="3"/>
      <c r="L1155" s="3"/>
      <c r="M1155" s="3"/>
      <c r="N1155" s="3"/>
    </row>
    <row r="1156" spans="3:14" x14ac:dyDescent="0.2">
      <c r="C1156" s="2"/>
      <c r="D1156" s="3"/>
      <c r="E1156" s="3"/>
      <c r="F1156" s="3"/>
      <c r="G1156" s="3"/>
      <c r="H1156" s="3"/>
      <c r="I1156" s="3"/>
      <c r="J1156" s="3"/>
      <c r="K1156" s="3"/>
      <c r="L1156" s="3"/>
      <c r="M1156" s="3"/>
      <c r="N1156" s="3"/>
    </row>
    <row r="1157" spans="3:14" x14ac:dyDescent="0.2">
      <c r="C1157" s="2"/>
      <c r="D1157" s="3"/>
      <c r="E1157" s="3"/>
      <c r="F1157" s="3"/>
      <c r="G1157" s="3"/>
      <c r="H1157" s="3"/>
      <c r="I1157" s="3"/>
      <c r="J1157" s="3"/>
      <c r="K1157" s="3"/>
      <c r="L1157" s="3"/>
      <c r="M1157" s="3"/>
      <c r="N1157" s="3"/>
    </row>
    <row r="1158" spans="3:14" x14ac:dyDescent="0.2">
      <c r="C1158" s="2"/>
      <c r="D1158" s="3"/>
      <c r="E1158" s="3"/>
      <c r="F1158" s="3"/>
      <c r="G1158" s="3"/>
      <c r="H1158" s="3"/>
      <c r="I1158" s="3"/>
      <c r="J1158" s="3"/>
      <c r="K1158" s="3"/>
      <c r="L1158" s="3"/>
      <c r="M1158" s="3"/>
      <c r="N1158" s="3"/>
    </row>
    <row r="1159" spans="3:14" x14ac:dyDescent="0.2">
      <c r="C1159" s="2"/>
      <c r="D1159" s="3"/>
      <c r="E1159" s="3"/>
      <c r="F1159" s="3"/>
      <c r="G1159" s="3"/>
      <c r="H1159" s="3"/>
      <c r="I1159" s="3"/>
      <c r="J1159" s="3"/>
      <c r="K1159" s="3"/>
      <c r="L1159" s="3"/>
      <c r="M1159" s="3"/>
      <c r="N1159" s="3"/>
    </row>
    <row r="1160" spans="3:14" x14ac:dyDescent="0.2">
      <c r="C1160" s="2"/>
      <c r="D1160" s="3"/>
      <c r="E1160" s="3"/>
      <c r="F1160" s="3"/>
      <c r="G1160" s="3"/>
      <c r="H1160" s="3"/>
      <c r="I1160" s="3"/>
      <c r="J1160" s="3"/>
      <c r="K1160" s="3"/>
      <c r="L1160" s="3"/>
      <c r="M1160" s="3"/>
      <c r="N1160" s="3"/>
    </row>
    <row r="1161" spans="3:14" x14ac:dyDescent="0.2">
      <c r="C1161" s="2"/>
      <c r="D1161" s="3"/>
      <c r="E1161" s="3"/>
      <c r="F1161" s="3"/>
      <c r="G1161" s="3"/>
      <c r="H1161" s="3"/>
      <c r="I1161" s="3"/>
      <c r="J1161" s="3"/>
      <c r="K1161" s="3"/>
      <c r="L1161" s="3"/>
      <c r="M1161" s="3"/>
      <c r="N1161" s="3"/>
    </row>
    <row r="1162" spans="3:14" x14ac:dyDescent="0.2">
      <c r="C1162" s="2"/>
      <c r="D1162" s="3"/>
      <c r="E1162" s="3"/>
      <c r="F1162" s="3"/>
      <c r="G1162" s="3"/>
      <c r="H1162" s="3"/>
      <c r="I1162" s="3"/>
      <c r="J1162" s="3"/>
      <c r="K1162" s="3"/>
      <c r="L1162" s="3"/>
      <c r="M1162" s="3"/>
      <c r="N1162" s="3"/>
    </row>
    <row r="1163" spans="3:14" x14ac:dyDescent="0.2">
      <c r="C1163" s="2"/>
      <c r="D1163" s="3"/>
      <c r="E1163" s="3"/>
      <c r="F1163" s="3"/>
      <c r="G1163" s="3"/>
      <c r="H1163" s="3"/>
      <c r="I1163" s="3"/>
      <c r="J1163" s="3"/>
      <c r="K1163" s="3"/>
      <c r="L1163" s="3"/>
      <c r="M1163" s="3"/>
      <c r="N1163" s="3"/>
    </row>
    <row r="1164" spans="3:14" x14ac:dyDescent="0.2">
      <c r="C1164" s="2"/>
      <c r="D1164" s="3"/>
      <c r="E1164" s="3"/>
      <c r="F1164" s="3"/>
      <c r="G1164" s="3"/>
      <c r="H1164" s="3"/>
      <c r="I1164" s="3"/>
      <c r="J1164" s="3"/>
      <c r="K1164" s="3"/>
      <c r="L1164" s="3"/>
      <c r="M1164" s="3"/>
      <c r="N1164" s="3"/>
    </row>
    <row r="1165" spans="3:14" x14ac:dyDescent="0.2">
      <c r="C1165" s="2"/>
      <c r="D1165" s="3"/>
      <c r="E1165" s="3"/>
      <c r="F1165" s="3"/>
      <c r="G1165" s="3"/>
      <c r="H1165" s="3"/>
      <c r="I1165" s="3"/>
      <c r="J1165" s="3"/>
      <c r="K1165" s="3"/>
      <c r="L1165" s="3"/>
      <c r="M1165" s="3"/>
      <c r="N1165" s="3"/>
    </row>
    <row r="1166" spans="3:14" x14ac:dyDescent="0.2">
      <c r="C1166" s="2"/>
      <c r="D1166" s="3"/>
      <c r="E1166" s="3"/>
      <c r="F1166" s="3"/>
      <c r="G1166" s="3"/>
      <c r="H1166" s="3"/>
      <c r="I1166" s="3"/>
      <c r="J1166" s="3"/>
      <c r="K1166" s="3"/>
      <c r="L1166" s="3"/>
      <c r="M1166" s="3"/>
      <c r="N1166" s="3"/>
    </row>
    <row r="1167" spans="3:14" x14ac:dyDescent="0.2">
      <c r="C1167" s="2"/>
      <c r="D1167" s="3"/>
      <c r="E1167" s="3"/>
      <c r="F1167" s="3"/>
      <c r="G1167" s="3"/>
      <c r="H1167" s="3"/>
      <c r="I1167" s="3"/>
      <c r="J1167" s="3"/>
      <c r="K1167" s="3"/>
      <c r="L1167" s="3"/>
      <c r="M1167" s="3"/>
      <c r="N1167" s="3"/>
    </row>
    <row r="1168" spans="3:14" x14ac:dyDescent="0.2">
      <c r="C1168" s="2"/>
      <c r="D1168" s="3"/>
      <c r="E1168" s="3"/>
      <c r="F1168" s="3"/>
      <c r="G1168" s="3"/>
      <c r="H1168" s="3"/>
      <c r="I1168" s="3"/>
      <c r="J1168" s="3"/>
      <c r="K1168" s="3"/>
      <c r="L1168" s="3"/>
      <c r="M1168" s="3"/>
      <c r="N1168" s="3"/>
    </row>
    <row r="1169" spans="3:14" x14ac:dyDescent="0.2">
      <c r="C1169" s="2"/>
      <c r="D1169" s="3"/>
      <c r="E1169" s="3"/>
      <c r="F1169" s="3"/>
      <c r="G1169" s="3"/>
      <c r="H1169" s="3"/>
      <c r="I1169" s="3"/>
      <c r="J1169" s="3"/>
      <c r="K1169" s="3"/>
      <c r="L1169" s="3"/>
      <c r="M1169" s="3"/>
      <c r="N1169" s="3"/>
    </row>
    <row r="1170" spans="3:14" x14ac:dyDescent="0.2">
      <c r="C1170" s="2"/>
      <c r="D1170" s="3"/>
      <c r="E1170" s="3"/>
      <c r="F1170" s="3"/>
      <c r="G1170" s="3"/>
      <c r="H1170" s="3"/>
      <c r="I1170" s="3"/>
      <c r="J1170" s="3"/>
      <c r="K1170" s="3"/>
      <c r="L1170" s="3"/>
      <c r="M1170" s="3"/>
      <c r="N1170" s="3"/>
    </row>
    <row r="1171" spans="3:14" x14ac:dyDescent="0.2">
      <c r="C1171" s="2"/>
      <c r="D1171" s="3"/>
      <c r="E1171" s="3"/>
      <c r="F1171" s="3"/>
      <c r="G1171" s="3"/>
      <c r="H1171" s="3"/>
      <c r="I1171" s="3"/>
      <c r="J1171" s="3"/>
      <c r="K1171" s="3"/>
      <c r="L1171" s="3"/>
      <c r="M1171" s="3"/>
      <c r="N1171" s="3"/>
    </row>
    <row r="1172" spans="3:14" x14ac:dyDescent="0.2">
      <c r="C1172" s="2"/>
      <c r="D1172" s="3"/>
      <c r="E1172" s="3"/>
      <c r="F1172" s="3"/>
      <c r="G1172" s="3"/>
      <c r="H1172" s="3"/>
      <c r="I1172" s="3"/>
      <c r="J1172" s="3"/>
      <c r="K1172" s="3"/>
      <c r="L1172" s="3"/>
      <c r="M1172" s="3"/>
      <c r="N1172" s="3"/>
    </row>
    <row r="1173" spans="3:14" x14ac:dyDescent="0.2">
      <c r="C1173" s="2"/>
      <c r="D1173" s="3"/>
      <c r="E1173" s="3"/>
      <c r="F1173" s="3"/>
      <c r="G1173" s="3"/>
      <c r="H1173" s="3"/>
      <c r="I1173" s="3"/>
      <c r="J1173" s="3"/>
      <c r="K1173" s="3"/>
      <c r="L1173" s="3"/>
      <c r="M1173" s="3"/>
      <c r="N1173" s="3"/>
    </row>
    <row r="1174" spans="3:14" x14ac:dyDescent="0.2">
      <c r="C1174" s="2"/>
      <c r="D1174" s="3"/>
      <c r="E1174" s="3"/>
      <c r="F1174" s="3"/>
      <c r="G1174" s="3"/>
      <c r="H1174" s="3"/>
      <c r="I1174" s="3"/>
      <c r="J1174" s="3"/>
      <c r="K1174" s="3"/>
      <c r="L1174" s="3"/>
      <c r="M1174" s="3"/>
      <c r="N1174" s="3"/>
    </row>
    <row r="1175" spans="3:14" x14ac:dyDescent="0.2">
      <c r="C1175" s="2"/>
      <c r="D1175" s="3"/>
      <c r="E1175" s="3"/>
      <c r="F1175" s="3"/>
      <c r="G1175" s="3"/>
      <c r="H1175" s="3"/>
      <c r="I1175" s="3"/>
      <c r="J1175" s="3"/>
      <c r="K1175" s="3"/>
      <c r="L1175" s="3"/>
      <c r="M1175" s="3"/>
      <c r="N1175" s="3"/>
    </row>
    <row r="1176" spans="3:14" x14ac:dyDescent="0.2">
      <c r="C1176" s="2"/>
      <c r="D1176" s="3"/>
      <c r="E1176" s="3"/>
      <c r="F1176" s="3"/>
      <c r="G1176" s="3"/>
      <c r="H1176" s="3"/>
      <c r="I1176" s="3"/>
      <c r="J1176" s="3"/>
      <c r="K1176" s="3"/>
      <c r="L1176" s="3"/>
      <c r="M1176" s="3"/>
      <c r="N1176" s="3"/>
    </row>
    <row r="1177" spans="3:14" x14ac:dyDescent="0.2">
      <c r="C1177" s="2"/>
      <c r="D1177" s="3"/>
      <c r="E1177" s="3"/>
      <c r="F1177" s="3"/>
      <c r="G1177" s="3"/>
      <c r="H1177" s="3"/>
      <c r="I1177" s="3"/>
      <c r="J1177" s="3"/>
      <c r="K1177" s="3"/>
      <c r="L1177" s="3"/>
      <c r="M1177" s="3"/>
      <c r="N1177" s="3"/>
    </row>
    <row r="1178" spans="3:14" x14ac:dyDescent="0.2">
      <c r="C1178" s="2"/>
      <c r="D1178" s="3"/>
      <c r="E1178" s="3"/>
      <c r="F1178" s="3"/>
      <c r="G1178" s="3"/>
      <c r="H1178" s="3"/>
      <c r="I1178" s="3"/>
      <c r="J1178" s="3"/>
      <c r="K1178" s="3"/>
      <c r="L1178" s="3"/>
      <c r="M1178" s="3"/>
      <c r="N1178" s="3"/>
    </row>
    <row r="1179" spans="3:14" x14ac:dyDescent="0.2">
      <c r="C1179" s="2"/>
      <c r="D1179" s="3"/>
      <c r="E1179" s="3"/>
      <c r="F1179" s="3"/>
      <c r="G1179" s="3"/>
      <c r="H1179" s="3"/>
      <c r="I1179" s="3"/>
      <c r="J1179" s="3"/>
      <c r="K1179" s="3"/>
      <c r="L1179" s="3"/>
      <c r="M1179" s="3"/>
      <c r="N1179" s="3"/>
    </row>
    <row r="1180" spans="3:14" x14ac:dyDescent="0.2">
      <c r="C1180" s="2"/>
      <c r="D1180" s="3"/>
      <c r="E1180" s="3"/>
      <c r="F1180" s="3"/>
      <c r="G1180" s="3"/>
      <c r="H1180" s="3"/>
      <c r="I1180" s="3"/>
      <c r="J1180" s="3"/>
      <c r="K1180" s="3"/>
      <c r="L1180" s="3"/>
      <c r="M1180" s="3"/>
      <c r="N1180" s="3"/>
    </row>
    <row r="1181" spans="3:14" x14ac:dyDescent="0.2">
      <c r="C1181" s="2"/>
      <c r="D1181" s="3"/>
      <c r="E1181" s="3"/>
      <c r="F1181" s="3"/>
      <c r="G1181" s="3"/>
      <c r="H1181" s="3"/>
      <c r="I1181" s="3"/>
      <c r="J1181" s="3"/>
      <c r="K1181" s="3"/>
      <c r="L1181" s="3"/>
      <c r="M1181" s="3"/>
      <c r="N1181" s="3"/>
    </row>
    <row r="1182" spans="3:14" x14ac:dyDescent="0.2">
      <c r="C1182" s="2"/>
      <c r="D1182" s="3"/>
      <c r="E1182" s="3"/>
      <c r="F1182" s="3"/>
      <c r="G1182" s="3"/>
      <c r="H1182" s="3"/>
      <c r="I1182" s="3"/>
      <c r="J1182" s="3"/>
      <c r="K1182" s="3"/>
      <c r="L1182" s="3"/>
      <c r="M1182" s="3"/>
      <c r="N1182" s="3"/>
    </row>
    <row r="1183" spans="3:14" x14ac:dyDescent="0.2">
      <c r="C1183" s="2"/>
      <c r="D1183" s="3"/>
      <c r="E1183" s="3"/>
      <c r="F1183" s="3"/>
      <c r="G1183" s="3"/>
      <c r="H1183" s="3"/>
      <c r="I1183" s="3"/>
      <c r="J1183" s="3"/>
      <c r="K1183" s="3"/>
      <c r="L1183" s="3"/>
      <c r="M1183" s="3"/>
      <c r="N1183" s="3"/>
    </row>
    <row r="1184" spans="3:14" x14ac:dyDescent="0.2">
      <c r="C1184" s="2"/>
      <c r="D1184" s="3"/>
      <c r="E1184" s="3"/>
      <c r="F1184" s="3"/>
      <c r="G1184" s="3"/>
      <c r="H1184" s="3"/>
      <c r="I1184" s="3"/>
      <c r="J1184" s="3"/>
      <c r="K1184" s="3"/>
      <c r="L1184" s="3"/>
      <c r="M1184" s="3"/>
      <c r="N1184" s="3"/>
    </row>
    <row r="1185" spans="3:14" x14ac:dyDescent="0.2">
      <c r="C1185" s="2"/>
      <c r="D1185" s="3"/>
      <c r="E1185" s="3"/>
      <c r="F1185" s="3"/>
      <c r="G1185" s="3"/>
      <c r="H1185" s="3"/>
      <c r="I1185" s="3"/>
      <c r="J1185" s="3"/>
      <c r="K1185" s="3"/>
      <c r="L1185" s="3"/>
      <c r="M1185" s="3"/>
      <c r="N1185" s="3"/>
    </row>
    <row r="1186" spans="3:14" x14ac:dyDescent="0.2">
      <c r="C1186" s="2"/>
      <c r="D1186" s="3"/>
      <c r="E1186" s="3"/>
      <c r="F1186" s="3"/>
      <c r="G1186" s="3"/>
      <c r="H1186" s="3"/>
      <c r="I1186" s="3"/>
      <c r="J1186" s="3"/>
      <c r="K1186" s="3"/>
      <c r="L1186" s="3"/>
      <c r="M1186" s="3"/>
      <c r="N1186" s="3"/>
    </row>
    <row r="1187" spans="3:14" x14ac:dyDescent="0.2">
      <c r="C1187" s="2"/>
      <c r="D1187" s="3"/>
      <c r="E1187" s="3"/>
      <c r="F1187" s="3"/>
      <c r="G1187" s="3"/>
      <c r="H1187" s="3"/>
      <c r="I1187" s="3"/>
      <c r="J1187" s="3"/>
      <c r="K1187" s="3"/>
      <c r="L1187" s="3"/>
      <c r="M1187" s="3"/>
      <c r="N1187" s="3"/>
    </row>
    <row r="1188" spans="3:14" x14ac:dyDescent="0.2">
      <c r="C1188" s="2"/>
      <c r="D1188" s="3"/>
      <c r="E1188" s="3"/>
      <c r="F1188" s="3"/>
      <c r="G1188" s="3"/>
      <c r="H1188" s="3"/>
      <c r="I1188" s="3"/>
      <c r="J1188" s="3"/>
      <c r="K1188" s="3"/>
      <c r="L1188" s="3"/>
      <c r="M1188" s="3"/>
      <c r="N1188" s="3"/>
    </row>
    <row r="1189" spans="3:14" x14ac:dyDescent="0.2">
      <c r="C1189" s="2"/>
      <c r="D1189" s="3"/>
      <c r="E1189" s="3"/>
      <c r="F1189" s="3"/>
      <c r="G1189" s="3"/>
      <c r="H1189" s="3"/>
      <c r="I1189" s="3"/>
      <c r="J1189" s="3"/>
      <c r="K1189" s="3"/>
      <c r="L1189" s="3"/>
      <c r="M1189" s="3"/>
      <c r="N1189" s="3"/>
    </row>
    <row r="1190" spans="3:14" x14ac:dyDescent="0.2">
      <c r="C1190" s="2"/>
      <c r="D1190" s="3"/>
      <c r="E1190" s="3"/>
      <c r="F1190" s="3"/>
      <c r="G1190" s="3"/>
      <c r="H1190" s="3"/>
      <c r="I1190" s="3"/>
      <c r="J1190" s="3"/>
      <c r="K1190" s="3"/>
      <c r="L1190" s="3"/>
      <c r="M1190" s="3"/>
      <c r="N1190" s="3"/>
    </row>
    <row r="1191" spans="3:14" x14ac:dyDescent="0.2">
      <c r="C1191" s="2"/>
      <c r="D1191" s="3"/>
      <c r="E1191" s="3"/>
      <c r="F1191" s="3"/>
      <c r="G1191" s="3"/>
      <c r="H1191" s="3"/>
      <c r="I1191" s="3"/>
      <c r="J1191" s="3"/>
      <c r="K1191" s="3"/>
      <c r="L1191" s="3"/>
      <c r="M1191" s="3"/>
      <c r="N1191" s="3"/>
    </row>
    <row r="1192" spans="3:14" x14ac:dyDescent="0.2">
      <c r="C1192" s="2"/>
      <c r="D1192" s="3"/>
      <c r="E1192" s="3"/>
      <c r="F1192" s="3"/>
      <c r="G1192" s="3"/>
      <c r="H1192" s="3"/>
      <c r="I1192" s="3"/>
      <c r="J1192" s="3"/>
      <c r="K1192" s="3"/>
      <c r="L1192" s="3"/>
      <c r="M1192" s="3"/>
      <c r="N1192" s="3"/>
    </row>
    <row r="1193" spans="3:14" x14ac:dyDescent="0.2">
      <c r="C1193" s="2"/>
      <c r="D1193" s="3"/>
      <c r="E1193" s="3"/>
      <c r="F1193" s="3"/>
      <c r="G1193" s="3"/>
      <c r="H1193" s="3"/>
      <c r="I1193" s="3"/>
      <c r="J1193" s="3"/>
      <c r="K1193" s="3"/>
      <c r="L1193" s="3"/>
      <c r="M1193" s="3"/>
      <c r="N1193" s="3"/>
    </row>
    <row r="1194" spans="3:14" x14ac:dyDescent="0.2">
      <c r="C1194" s="2"/>
      <c r="D1194" s="3"/>
      <c r="E1194" s="3"/>
      <c r="F1194" s="3"/>
      <c r="G1194" s="3"/>
      <c r="H1194" s="3"/>
      <c r="I1194" s="3"/>
      <c r="J1194" s="3"/>
      <c r="K1194" s="3"/>
      <c r="L1194" s="3"/>
      <c r="M1194" s="3"/>
      <c r="N1194" s="3"/>
    </row>
    <row r="1195" spans="3:14" x14ac:dyDescent="0.2">
      <c r="C1195" s="2"/>
      <c r="D1195" s="3"/>
      <c r="E1195" s="3"/>
      <c r="F1195" s="3"/>
      <c r="G1195" s="3"/>
      <c r="H1195" s="3"/>
      <c r="I1195" s="3"/>
      <c r="J1195" s="3"/>
      <c r="K1195" s="3"/>
      <c r="L1195" s="3"/>
      <c r="M1195" s="3"/>
      <c r="N1195" s="3"/>
    </row>
    <row r="1196" spans="3:14" x14ac:dyDescent="0.2">
      <c r="C1196" s="2"/>
      <c r="D1196" s="3"/>
      <c r="E1196" s="3"/>
      <c r="F1196" s="3"/>
      <c r="G1196" s="3"/>
      <c r="H1196" s="3"/>
      <c r="I1196" s="3"/>
      <c r="J1196" s="3"/>
      <c r="K1196" s="3"/>
      <c r="L1196" s="3"/>
      <c r="M1196" s="3"/>
      <c r="N1196" s="3"/>
    </row>
    <row r="1197" spans="3:14" x14ac:dyDescent="0.2">
      <c r="C1197" s="2"/>
      <c r="D1197" s="3"/>
      <c r="E1197" s="3"/>
      <c r="F1197" s="3"/>
      <c r="G1197" s="3"/>
      <c r="H1197" s="3"/>
      <c r="I1197" s="3"/>
      <c r="J1197" s="3"/>
      <c r="K1197" s="3"/>
      <c r="L1197" s="3"/>
      <c r="M1197" s="3"/>
      <c r="N1197" s="3"/>
    </row>
    <row r="1198" spans="3:14" x14ac:dyDescent="0.2">
      <c r="C1198" s="2"/>
      <c r="D1198" s="3"/>
      <c r="E1198" s="3"/>
      <c r="F1198" s="3"/>
      <c r="G1198" s="3"/>
      <c r="H1198" s="3"/>
      <c r="I1198" s="3"/>
      <c r="J1198" s="3"/>
      <c r="K1198" s="3"/>
      <c r="L1198" s="3"/>
      <c r="M1198" s="3"/>
      <c r="N1198" s="3"/>
    </row>
    <row r="1199" spans="3:14" x14ac:dyDescent="0.2">
      <c r="C1199" s="2"/>
      <c r="D1199" s="3"/>
      <c r="E1199" s="3"/>
      <c r="F1199" s="3"/>
      <c r="G1199" s="3"/>
      <c r="H1199" s="3"/>
      <c r="I1199" s="3"/>
      <c r="J1199" s="3"/>
      <c r="K1199" s="3"/>
      <c r="L1199" s="3"/>
      <c r="M1199" s="3"/>
      <c r="N1199" s="3"/>
    </row>
    <row r="1200" spans="3:14" x14ac:dyDescent="0.2">
      <c r="C1200" s="2"/>
      <c r="D1200" s="3"/>
      <c r="E1200" s="3"/>
      <c r="F1200" s="3"/>
      <c r="G1200" s="3"/>
      <c r="H1200" s="3"/>
      <c r="I1200" s="3"/>
      <c r="J1200" s="3"/>
      <c r="K1200" s="3"/>
      <c r="L1200" s="3"/>
      <c r="M1200" s="3"/>
      <c r="N1200" s="3"/>
    </row>
    <row r="1201" spans="3:14" x14ac:dyDescent="0.2">
      <c r="C1201" s="2"/>
      <c r="D1201" s="3"/>
      <c r="E1201" s="3"/>
      <c r="F1201" s="3"/>
      <c r="G1201" s="3"/>
      <c r="H1201" s="3"/>
      <c r="I1201" s="3"/>
      <c r="J1201" s="3"/>
      <c r="K1201" s="3"/>
      <c r="L1201" s="3"/>
      <c r="M1201" s="3"/>
      <c r="N1201" s="3"/>
    </row>
    <row r="1202" spans="3:14" x14ac:dyDescent="0.2">
      <c r="C1202" s="2"/>
      <c r="D1202" s="3"/>
      <c r="E1202" s="3"/>
      <c r="F1202" s="3"/>
      <c r="G1202" s="3"/>
      <c r="H1202" s="3"/>
      <c r="I1202" s="3"/>
      <c r="J1202" s="3"/>
      <c r="K1202" s="3"/>
      <c r="L1202" s="3"/>
      <c r="M1202" s="3"/>
      <c r="N1202" s="3"/>
    </row>
    <row r="1203" spans="3:14" x14ac:dyDescent="0.2">
      <c r="C1203" s="2"/>
      <c r="D1203" s="3"/>
      <c r="E1203" s="3"/>
      <c r="F1203" s="3"/>
      <c r="G1203" s="3"/>
      <c r="H1203" s="3"/>
      <c r="I1203" s="3"/>
      <c r="J1203" s="3"/>
      <c r="K1203" s="3"/>
      <c r="L1203" s="3"/>
      <c r="M1203" s="3"/>
      <c r="N1203" s="3"/>
    </row>
    <row r="1204" spans="3:14" x14ac:dyDescent="0.2">
      <c r="C1204" s="2"/>
      <c r="D1204" s="3"/>
      <c r="E1204" s="3"/>
      <c r="F1204" s="3"/>
      <c r="G1204" s="3"/>
      <c r="H1204" s="3"/>
      <c r="I1204" s="3"/>
      <c r="J1204" s="3"/>
      <c r="K1204" s="3"/>
      <c r="L1204" s="3"/>
      <c r="M1204" s="3"/>
      <c r="N1204" s="3"/>
    </row>
    <row r="1205" spans="3:14" x14ac:dyDescent="0.2">
      <c r="C1205" s="2"/>
      <c r="D1205" s="3"/>
      <c r="E1205" s="3"/>
      <c r="F1205" s="3"/>
      <c r="G1205" s="3"/>
      <c r="H1205" s="3"/>
      <c r="I1205" s="3"/>
      <c r="J1205" s="3"/>
      <c r="K1205" s="3"/>
      <c r="L1205" s="3"/>
      <c r="M1205" s="3"/>
      <c r="N1205" s="3"/>
    </row>
    <row r="1206" spans="3:14" x14ac:dyDescent="0.2">
      <c r="C1206" s="2"/>
      <c r="D1206" s="3"/>
      <c r="E1206" s="3"/>
      <c r="F1206" s="3"/>
      <c r="G1206" s="3"/>
      <c r="H1206" s="3"/>
      <c r="I1206" s="3"/>
      <c r="J1206" s="3"/>
      <c r="K1206" s="3"/>
      <c r="L1206" s="3"/>
      <c r="M1206" s="3"/>
      <c r="N1206" s="3"/>
    </row>
    <row r="1207" spans="3:14" x14ac:dyDescent="0.2">
      <c r="C1207" s="2"/>
      <c r="D1207" s="3"/>
      <c r="E1207" s="3"/>
      <c r="F1207" s="3"/>
      <c r="G1207" s="3"/>
      <c r="H1207" s="3"/>
      <c r="I1207" s="3"/>
      <c r="J1207" s="3"/>
      <c r="K1207" s="3"/>
      <c r="L1207" s="3"/>
      <c r="M1207" s="3"/>
      <c r="N1207" s="3"/>
    </row>
    <row r="1208" spans="3:14" x14ac:dyDescent="0.2">
      <c r="C1208" s="2"/>
      <c r="D1208" s="3"/>
      <c r="E1208" s="3"/>
      <c r="F1208" s="3"/>
      <c r="G1208" s="3"/>
      <c r="H1208" s="3"/>
      <c r="I1208" s="3"/>
      <c r="J1208" s="3"/>
      <c r="K1208" s="3"/>
      <c r="L1208" s="3"/>
      <c r="M1208" s="3"/>
      <c r="N1208" s="3"/>
    </row>
    <row r="1209" spans="3:14" x14ac:dyDescent="0.2">
      <c r="C1209" s="2"/>
      <c r="D1209" s="3"/>
      <c r="E1209" s="3"/>
      <c r="F1209" s="3"/>
      <c r="G1209" s="3"/>
      <c r="H1209" s="3"/>
      <c r="I1209" s="3"/>
      <c r="J1209" s="3"/>
      <c r="K1209" s="3"/>
      <c r="L1209" s="3"/>
      <c r="M1209" s="3"/>
      <c r="N1209" s="3"/>
    </row>
    <row r="1210" spans="3:14" x14ac:dyDescent="0.2">
      <c r="C1210" s="2"/>
      <c r="D1210" s="3"/>
      <c r="E1210" s="3"/>
      <c r="F1210" s="3"/>
      <c r="G1210" s="3"/>
      <c r="H1210" s="3"/>
      <c r="I1210" s="3"/>
      <c r="J1210" s="3"/>
      <c r="K1210" s="3"/>
      <c r="L1210" s="3"/>
      <c r="M1210" s="3"/>
      <c r="N1210" s="3"/>
    </row>
    <row r="1211" spans="3:14" x14ac:dyDescent="0.2">
      <c r="C1211" s="2"/>
      <c r="D1211" s="3"/>
      <c r="E1211" s="3"/>
      <c r="F1211" s="3"/>
      <c r="G1211" s="3"/>
      <c r="H1211" s="3"/>
      <c r="I1211" s="3"/>
      <c r="J1211" s="3"/>
      <c r="K1211" s="3"/>
      <c r="L1211" s="3"/>
      <c r="M1211" s="3"/>
      <c r="N1211" s="3"/>
    </row>
    <row r="1212" spans="3:14" x14ac:dyDescent="0.2">
      <c r="C1212" s="2"/>
      <c r="D1212" s="3"/>
      <c r="E1212" s="3"/>
      <c r="F1212" s="3"/>
      <c r="G1212" s="3"/>
      <c r="H1212" s="3"/>
      <c r="I1212" s="3"/>
      <c r="J1212" s="3"/>
      <c r="K1212" s="3"/>
      <c r="L1212" s="3"/>
      <c r="M1212" s="3"/>
      <c r="N1212" s="3"/>
    </row>
    <row r="1213" spans="3:14" x14ac:dyDescent="0.2">
      <c r="C1213" s="2"/>
      <c r="D1213" s="3"/>
      <c r="E1213" s="3"/>
      <c r="F1213" s="3"/>
      <c r="G1213" s="3"/>
      <c r="H1213" s="3"/>
      <c r="I1213" s="3"/>
      <c r="J1213" s="3"/>
      <c r="K1213" s="3"/>
      <c r="L1213" s="3"/>
      <c r="M1213" s="3"/>
      <c r="N1213" s="3"/>
    </row>
    <row r="1214" spans="3:14" x14ac:dyDescent="0.2">
      <c r="C1214" s="2"/>
      <c r="D1214" s="3"/>
      <c r="E1214" s="3"/>
      <c r="F1214" s="3"/>
      <c r="G1214" s="3"/>
      <c r="H1214" s="3"/>
      <c r="I1214" s="3"/>
      <c r="J1214" s="3"/>
      <c r="K1214" s="3"/>
      <c r="L1214" s="3"/>
      <c r="M1214" s="3"/>
      <c r="N1214" s="3"/>
    </row>
    <row r="1215" spans="3:14" x14ac:dyDescent="0.2">
      <c r="C1215" s="2"/>
      <c r="D1215" s="3"/>
      <c r="E1215" s="3"/>
      <c r="F1215" s="3"/>
      <c r="G1215" s="3"/>
      <c r="H1215" s="3"/>
      <c r="I1215" s="3"/>
      <c r="J1215" s="3"/>
      <c r="K1215" s="3"/>
      <c r="L1215" s="3"/>
      <c r="M1215" s="3"/>
      <c r="N1215" s="3"/>
    </row>
    <row r="1216" spans="3:14" x14ac:dyDescent="0.2">
      <c r="C1216" s="2"/>
      <c r="D1216" s="3"/>
      <c r="E1216" s="3"/>
      <c r="F1216" s="3"/>
      <c r="G1216" s="3"/>
      <c r="H1216" s="3"/>
      <c r="I1216" s="3"/>
      <c r="J1216" s="3"/>
      <c r="K1216" s="3"/>
      <c r="L1216" s="3"/>
      <c r="M1216" s="3"/>
      <c r="N1216" s="3"/>
    </row>
    <row r="1217" spans="3:14" x14ac:dyDescent="0.2">
      <c r="C1217" s="2"/>
      <c r="D1217" s="3"/>
      <c r="E1217" s="3"/>
      <c r="F1217" s="3"/>
      <c r="G1217" s="3"/>
      <c r="H1217" s="3"/>
      <c r="I1217" s="3"/>
      <c r="J1217" s="3"/>
      <c r="K1217" s="3"/>
      <c r="L1217" s="3"/>
      <c r="M1217" s="3"/>
      <c r="N1217" s="3"/>
    </row>
    <row r="1218" spans="3:14" x14ac:dyDescent="0.2">
      <c r="C1218" s="2"/>
      <c r="D1218" s="3"/>
      <c r="E1218" s="3"/>
      <c r="F1218" s="3"/>
      <c r="G1218" s="3"/>
      <c r="H1218" s="3"/>
      <c r="I1218" s="3"/>
      <c r="J1218" s="3"/>
      <c r="K1218" s="3"/>
      <c r="L1218" s="3"/>
      <c r="M1218" s="3"/>
      <c r="N1218" s="3"/>
    </row>
    <row r="1219" spans="3:14" x14ac:dyDescent="0.2">
      <c r="C1219" s="2"/>
      <c r="D1219" s="3"/>
      <c r="E1219" s="3"/>
      <c r="F1219" s="3"/>
      <c r="G1219" s="3"/>
      <c r="H1219" s="3"/>
      <c r="I1219" s="3"/>
      <c r="J1219" s="3"/>
      <c r="K1219" s="3"/>
      <c r="L1219" s="3"/>
      <c r="M1219" s="3"/>
      <c r="N1219" s="3"/>
    </row>
    <row r="1220" spans="3:14" x14ac:dyDescent="0.2">
      <c r="C1220" s="2"/>
      <c r="D1220" s="3"/>
      <c r="E1220" s="3"/>
      <c r="F1220" s="3"/>
      <c r="G1220" s="3"/>
      <c r="H1220" s="3"/>
      <c r="I1220" s="3"/>
      <c r="J1220" s="3"/>
      <c r="K1220" s="3"/>
      <c r="L1220" s="3"/>
      <c r="M1220" s="3"/>
      <c r="N1220" s="3"/>
    </row>
    <row r="1221" spans="3:14" x14ac:dyDescent="0.2">
      <c r="C1221" s="2"/>
      <c r="D1221" s="3"/>
      <c r="E1221" s="3"/>
      <c r="F1221" s="3"/>
      <c r="G1221" s="3"/>
      <c r="H1221" s="3"/>
      <c r="I1221" s="3"/>
      <c r="J1221" s="3"/>
      <c r="K1221" s="3"/>
      <c r="L1221" s="3"/>
      <c r="M1221" s="3"/>
      <c r="N1221" s="3"/>
    </row>
    <row r="1222" spans="3:14" x14ac:dyDescent="0.2">
      <c r="C1222" s="2"/>
      <c r="D1222" s="3"/>
      <c r="E1222" s="3"/>
      <c r="F1222" s="3"/>
      <c r="G1222" s="3"/>
      <c r="H1222" s="3"/>
      <c r="I1222" s="3"/>
      <c r="J1222" s="3"/>
      <c r="K1222" s="3"/>
      <c r="L1222" s="3"/>
      <c r="M1222" s="3"/>
      <c r="N1222" s="3"/>
    </row>
    <row r="1223" spans="3:14" x14ac:dyDescent="0.2">
      <c r="C1223" s="2"/>
      <c r="D1223" s="3"/>
      <c r="E1223" s="3"/>
      <c r="F1223" s="3"/>
      <c r="G1223" s="3"/>
      <c r="H1223" s="3"/>
      <c r="I1223" s="3"/>
      <c r="J1223" s="3"/>
      <c r="K1223" s="3"/>
      <c r="L1223" s="3"/>
      <c r="M1223" s="3"/>
      <c r="N1223" s="3"/>
    </row>
    <row r="1224" spans="3:14" x14ac:dyDescent="0.2">
      <c r="C1224" s="2"/>
      <c r="D1224" s="3"/>
      <c r="E1224" s="3"/>
      <c r="F1224" s="3"/>
      <c r="G1224" s="3"/>
      <c r="H1224" s="3"/>
      <c r="I1224" s="3"/>
      <c r="J1224" s="3"/>
      <c r="K1224" s="3"/>
      <c r="L1224" s="3"/>
      <c r="M1224" s="3"/>
      <c r="N1224" s="3"/>
    </row>
    <row r="1225" spans="3:14" x14ac:dyDescent="0.2">
      <c r="C1225" s="2"/>
      <c r="D1225" s="3"/>
      <c r="E1225" s="3"/>
      <c r="F1225" s="3"/>
      <c r="G1225" s="3"/>
      <c r="H1225" s="3"/>
      <c r="I1225" s="3"/>
      <c r="J1225" s="3"/>
      <c r="K1225" s="3"/>
      <c r="L1225" s="3"/>
      <c r="M1225" s="3"/>
      <c r="N1225" s="3"/>
    </row>
    <row r="1226" spans="3:14" x14ac:dyDescent="0.2">
      <c r="C1226" s="2"/>
      <c r="D1226" s="3"/>
      <c r="E1226" s="3"/>
      <c r="F1226" s="3"/>
      <c r="G1226" s="3"/>
      <c r="H1226" s="3"/>
      <c r="I1226" s="3"/>
      <c r="J1226" s="3"/>
      <c r="K1226" s="3"/>
      <c r="L1226" s="3"/>
      <c r="M1226" s="3"/>
      <c r="N1226" s="3"/>
    </row>
    <row r="1227" spans="3:14" x14ac:dyDescent="0.2">
      <c r="C1227" s="2"/>
      <c r="D1227" s="3"/>
      <c r="E1227" s="3"/>
      <c r="F1227" s="3"/>
      <c r="G1227" s="3"/>
      <c r="H1227" s="3"/>
      <c r="I1227" s="3"/>
      <c r="J1227" s="3"/>
      <c r="K1227" s="3"/>
      <c r="L1227" s="3"/>
      <c r="M1227" s="3"/>
      <c r="N1227" s="3"/>
    </row>
    <row r="1228" spans="3:14" x14ac:dyDescent="0.2">
      <c r="C1228" s="2"/>
      <c r="D1228" s="3"/>
      <c r="E1228" s="3"/>
      <c r="F1228" s="3"/>
      <c r="G1228" s="3"/>
      <c r="H1228" s="3"/>
      <c r="I1228" s="3"/>
      <c r="J1228" s="3"/>
      <c r="K1228" s="3"/>
      <c r="L1228" s="3"/>
      <c r="M1228" s="3"/>
      <c r="N1228" s="3"/>
    </row>
    <row r="1229" spans="3:14" x14ac:dyDescent="0.2">
      <c r="C1229" s="2"/>
      <c r="D1229" s="3"/>
      <c r="E1229" s="3"/>
      <c r="F1229" s="3"/>
      <c r="G1229" s="3"/>
      <c r="H1229" s="3"/>
      <c r="I1229" s="3"/>
      <c r="J1229" s="3"/>
      <c r="K1229" s="3"/>
      <c r="L1229" s="3"/>
      <c r="M1229" s="3"/>
      <c r="N1229" s="3"/>
    </row>
    <row r="1230" spans="3:14" x14ac:dyDescent="0.2">
      <c r="C1230" s="2"/>
      <c r="D1230" s="3"/>
      <c r="E1230" s="3"/>
      <c r="F1230" s="3"/>
      <c r="G1230" s="3"/>
      <c r="H1230" s="3"/>
      <c r="I1230" s="3"/>
      <c r="J1230" s="3"/>
      <c r="K1230" s="3"/>
      <c r="L1230" s="3"/>
      <c r="M1230" s="3"/>
      <c r="N1230" s="3"/>
    </row>
    <row r="1231" spans="3:14" x14ac:dyDescent="0.2">
      <c r="C1231" s="2"/>
      <c r="D1231" s="3"/>
      <c r="E1231" s="3"/>
      <c r="F1231" s="3"/>
      <c r="G1231" s="3"/>
      <c r="H1231" s="3"/>
      <c r="I1231" s="3"/>
      <c r="J1231" s="3"/>
      <c r="K1231" s="3"/>
      <c r="L1231" s="3"/>
      <c r="M1231" s="3"/>
      <c r="N1231" s="3"/>
    </row>
    <row r="1232" spans="3:14" x14ac:dyDescent="0.2">
      <c r="C1232" s="2"/>
      <c r="D1232" s="3"/>
      <c r="E1232" s="3"/>
      <c r="F1232" s="3"/>
      <c r="G1232" s="3"/>
      <c r="H1232" s="3"/>
      <c r="I1232" s="3"/>
      <c r="J1232" s="3"/>
      <c r="K1232" s="3"/>
      <c r="L1232" s="3"/>
      <c r="M1232" s="3"/>
      <c r="N1232" s="3"/>
    </row>
    <row r="1233" spans="3:14" x14ac:dyDescent="0.2">
      <c r="C1233" s="2"/>
      <c r="D1233" s="3"/>
      <c r="E1233" s="3"/>
      <c r="F1233" s="3"/>
      <c r="G1233" s="3"/>
      <c r="H1233" s="3"/>
      <c r="I1233" s="3"/>
      <c r="J1233" s="3"/>
      <c r="K1233" s="3"/>
      <c r="L1233" s="3"/>
      <c r="M1233" s="3"/>
      <c r="N1233" s="3"/>
    </row>
    <row r="1234" spans="3:14" x14ac:dyDescent="0.2">
      <c r="C1234" s="2"/>
      <c r="D1234" s="3"/>
      <c r="E1234" s="3"/>
      <c r="F1234" s="3"/>
      <c r="G1234" s="3"/>
      <c r="H1234" s="3"/>
      <c r="I1234" s="3"/>
      <c r="J1234" s="3"/>
      <c r="K1234" s="3"/>
      <c r="L1234" s="3"/>
      <c r="M1234" s="3"/>
      <c r="N1234" s="3"/>
    </row>
    <row r="1235" spans="3:14" x14ac:dyDescent="0.2">
      <c r="C1235" s="2"/>
      <c r="D1235" s="3"/>
      <c r="E1235" s="3"/>
      <c r="F1235" s="3"/>
      <c r="G1235" s="3"/>
      <c r="H1235" s="3"/>
      <c r="I1235" s="3"/>
      <c r="J1235" s="3"/>
      <c r="K1235" s="3"/>
      <c r="L1235" s="3"/>
      <c r="M1235" s="3"/>
      <c r="N1235" s="3"/>
    </row>
    <row r="1236" spans="3:14" x14ac:dyDescent="0.2">
      <c r="C1236" s="2"/>
      <c r="D1236" s="3"/>
      <c r="E1236" s="3"/>
      <c r="F1236" s="3"/>
      <c r="G1236" s="3"/>
      <c r="H1236" s="3"/>
      <c r="I1236" s="3"/>
      <c r="J1236" s="3"/>
      <c r="K1236" s="3"/>
      <c r="L1236" s="3"/>
      <c r="M1236" s="3"/>
      <c r="N1236" s="3"/>
    </row>
    <row r="1237" spans="3:14" x14ac:dyDescent="0.2">
      <c r="C1237" s="2"/>
      <c r="D1237" s="3"/>
      <c r="E1237" s="3"/>
      <c r="F1237" s="3"/>
      <c r="G1237" s="3"/>
      <c r="H1237" s="3"/>
      <c r="I1237" s="3"/>
      <c r="J1237" s="3"/>
      <c r="K1237" s="3"/>
      <c r="L1237" s="3"/>
      <c r="M1237" s="3"/>
      <c r="N1237" s="3"/>
    </row>
    <row r="1238" spans="3:14" x14ac:dyDescent="0.2">
      <c r="C1238" s="2"/>
      <c r="D1238" s="3"/>
      <c r="E1238" s="3"/>
      <c r="F1238" s="3"/>
      <c r="G1238" s="3"/>
      <c r="H1238" s="3"/>
      <c r="I1238" s="3"/>
      <c r="J1238" s="3"/>
      <c r="K1238" s="3"/>
      <c r="L1238" s="3"/>
      <c r="M1238" s="3"/>
      <c r="N1238" s="3"/>
    </row>
    <row r="1239" spans="3:14" x14ac:dyDescent="0.2">
      <c r="C1239" s="2"/>
      <c r="D1239" s="3"/>
      <c r="E1239" s="3"/>
      <c r="F1239" s="3"/>
      <c r="G1239" s="3"/>
      <c r="H1239" s="3"/>
      <c r="I1239" s="3"/>
      <c r="J1239" s="3"/>
      <c r="K1239" s="3"/>
      <c r="L1239" s="3"/>
      <c r="M1239" s="3"/>
      <c r="N1239" s="3"/>
    </row>
    <row r="1240" spans="3:14" x14ac:dyDescent="0.2">
      <c r="C1240" s="2"/>
      <c r="D1240" s="3"/>
      <c r="E1240" s="3"/>
      <c r="F1240" s="3"/>
      <c r="G1240" s="3"/>
      <c r="H1240" s="3"/>
      <c r="I1240" s="3"/>
      <c r="J1240" s="3"/>
      <c r="K1240" s="3"/>
      <c r="L1240" s="3"/>
      <c r="M1240" s="3"/>
      <c r="N1240" s="3"/>
    </row>
    <row r="1241" spans="3:14" x14ac:dyDescent="0.2">
      <c r="C1241" s="2"/>
      <c r="D1241" s="3"/>
      <c r="E1241" s="3"/>
      <c r="F1241" s="3"/>
      <c r="G1241" s="3"/>
      <c r="H1241" s="3"/>
      <c r="I1241" s="3"/>
      <c r="J1241" s="3"/>
      <c r="K1241" s="3"/>
      <c r="L1241" s="3"/>
      <c r="M1241" s="3"/>
      <c r="N1241" s="3"/>
    </row>
    <row r="1242" spans="3:14" x14ac:dyDescent="0.2">
      <c r="C1242" s="2"/>
      <c r="D1242" s="3"/>
      <c r="E1242" s="3"/>
      <c r="F1242" s="3"/>
      <c r="G1242" s="3"/>
      <c r="H1242" s="3"/>
      <c r="I1242" s="3"/>
      <c r="J1242" s="3"/>
      <c r="K1242" s="3"/>
      <c r="L1242" s="3"/>
      <c r="M1242" s="3"/>
      <c r="N1242" s="3"/>
    </row>
    <row r="1243" spans="3:14" x14ac:dyDescent="0.2">
      <c r="C1243" s="2"/>
      <c r="D1243" s="3"/>
      <c r="E1243" s="3"/>
      <c r="F1243" s="3"/>
      <c r="G1243" s="3"/>
      <c r="H1243" s="3"/>
      <c r="I1243" s="3"/>
      <c r="J1243" s="3"/>
      <c r="K1243" s="3"/>
      <c r="L1243" s="3"/>
      <c r="M1243" s="3"/>
      <c r="N1243" s="3"/>
    </row>
    <row r="1244" spans="3:14" x14ac:dyDescent="0.2">
      <c r="C1244" s="2"/>
      <c r="D1244" s="3"/>
      <c r="E1244" s="3"/>
      <c r="F1244" s="3"/>
      <c r="G1244" s="3"/>
      <c r="H1244" s="3"/>
      <c r="I1244" s="3"/>
      <c r="J1244" s="3"/>
      <c r="K1244" s="3"/>
      <c r="L1244" s="3"/>
      <c r="M1244" s="3"/>
      <c r="N1244" s="3"/>
    </row>
    <row r="1245" spans="3:14" x14ac:dyDescent="0.2">
      <c r="C1245" s="2"/>
      <c r="D1245" s="3"/>
      <c r="E1245" s="3"/>
      <c r="F1245" s="3"/>
      <c r="G1245" s="3"/>
      <c r="H1245" s="3"/>
      <c r="I1245" s="3"/>
      <c r="J1245" s="3"/>
      <c r="K1245" s="3"/>
      <c r="L1245" s="3"/>
      <c r="M1245" s="3"/>
      <c r="N1245" s="3"/>
    </row>
    <row r="1246" spans="3:14" x14ac:dyDescent="0.2">
      <c r="C1246" s="2"/>
      <c r="D1246" s="3"/>
      <c r="E1246" s="3"/>
      <c r="F1246" s="3"/>
      <c r="G1246" s="3"/>
      <c r="H1246" s="3"/>
      <c r="I1246" s="3"/>
      <c r="J1246" s="3"/>
      <c r="K1246" s="3"/>
      <c r="L1246" s="3"/>
      <c r="M1246" s="3"/>
      <c r="N1246" s="3"/>
    </row>
    <row r="1247" spans="3:14" x14ac:dyDescent="0.2">
      <c r="C1247" s="2"/>
      <c r="D1247" s="3"/>
      <c r="E1247" s="3"/>
      <c r="F1247" s="3"/>
      <c r="G1247" s="3"/>
      <c r="H1247" s="3"/>
      <c r="I1247" s="3"/>
      <c r="J1247" s="3"/>
      <c r="K1247" s="3"/>
      <c r="L1247" s="3"/>
      <c r="M1247" s="3"/>
      <c r="N1247" s="3"/>
    </row>
    <row r="1248" spans="3:14" x14ac:dyDescent="0.2">
      <c r="C1248" s="2"/>
      <c r="D1248" s="3"/>
      <c r="E1248" s="3"/>
      <c r="F1248" s="3"/>
      <c r="G1248" s="3"/>
      <c r="H1248" s="3"/>
      <c r="I1248" s="3"/>
      <c r="J1248" s="3"/>
      <c r="K1248" s="3"/>
      <c r="L1248" s="3"/>
      <c r="M1248" s="3"/>
      <c r="N1248" s="3"/>
    </row>
    <row r="1249" spans="3:14" x14ac:dyDescent="0.2">
      <c r="C1249" s="2"/>
      <c r="D1249" s="3"/>
      <c r="E1249" s="3"/>
      <c r="F1249" s="3"/>
      <c r="G1249" s="3"/>
      <c r="H1249" s="3"/>
      <c r="I1249" s="3"/>
      <c r="J1249" s="3"/>
      <c r="K1249" s="3"/>
      <c r="L1249" s="3"/>
      <c r="M1249" s="3"/>
      <c r="N1249" s="3"/>
    </row>
    <row r="1250" spans="3:14" x14ac:dyDescent="0.2">
      <c r="C1250" s="2"/>
      <c r="D1250" s="3"/>
      <c r="E1250" s="3"/>
      <c r="F1250" s="3"/>
      <c r="G1250" s="3"/>
      <c r="H1250" s="3"/>
      <c r="I1250" s="3"/>
      <c r="J1250" s="3"/>
      <c r="K1250" s="3"/>
      <c r="L1250" s="3"/>
      <c r="M1250" s="3"/>
      <c r="N1250" s="3"/>
    </row>
    <row r="1251" spans="3:14" x14ac:dyDescent="0.2">
      <c r="C1251" s="2"/>
      <c r="D1251" s="3"/>
      <c r="E1251" s="3"/>
      <c r="F1251" s="3"/>
      <c r="G1251" s="3"/>
      <c r="H1251" s="3"/>
      <c r="I1251" s="3"/>
      <c r="J1251" s="3"/>
      <c r="K1251" s="3"/>
      <c r="L1251" s="3"/>
      <c r="M1251" s="3"/>
      <c r="N1251" s="3"/>
    </row>
    <row r="1252" spans="3:14" x14ac:dyDescent="0.2">
      <c r="C1252" s="2"/>
      <c r="D1252" s="3"/>
      <c r="E1252" s="3"/>
      <c r="F1252" s="3"/>
      <c r="G1252" s="3"/>
      <c r="H1252" s="3"/>
      <c r="I1252" s="3"/>
      <c r="J1252" s="3"/>
      <c r="K1252" s="3"/>
      <c r="L1252" s="3"/>
      <c r="M1252" s="3"/>
      <c r="N1252" s="3"/>
    </row>
    <row r="1253" spans="3:14" x14ac:dyDescent="0.2">
      <c r="C1253" s="2"/>
      <c r="D1253" s="3"/>
      <c r="E1253" s="3"/>
      <c r="F1253" s="3"/>
      <c r="G1253" s="3"/>
      <c r="H1253" s="3"/>
      <c r="I1253" s="3"/>
      <c r="J1253" s="3"/>
      <c r="K1253" s="3"/>
      <c r="L1253" s="3"/>
      <c r="M1253" s="3"/>
      <c r="N1253" s="3"/>
    </row>
    <row r="1254" spans="3:14" x14ac:dyDescent="0.2">
      <c r="C1254" s="2"/>
      <c r="D1254" s="3"/>
      <c r="E1254" s="3"/>
      <c r="F1254" s="3"/>
      <c r="G1254" s="3"/>
      <c r="H1254" s="3"/>
      <c r="I1254" s="3"/>
      <c r="J1254" s="3"/>
      <c r="K1254" s="3"/>
      <c r="L1254" s="3"/>
      <c r="M1254" s="3"/>
      <c r="N1254" s="3"/>
    </row>
    <row r="1255" spans="3:14" x14ac:dyDescent="0.2">
      <c r="C1255" s="2"/>
      <c r="D1255" s="3"/>
      <c r="E1255" s="3"/>
      <c r="F1255" s="3"/>
      <c r="G1255" s="3"/>
      <c r="H1255" s="3"/>
      <c r="I1255" s="3"/>
      <c r="J1255" s="3"/>
      <c r="K1255" s="3"/>
      <c r="L1255" s="3"/>
      <c r="M1255" s="3"/>
      <c r="N1255" s="3"/>
    </row>
    <row r="1256" spans="3:14" x14ac:dyDescent="0.2">
      <c r="C1256" s="2"/>
      <c r="D1256" s="3"/>
      <c r="E1256" s="3"/>
      <c r="F1256" s="3"/>
      <c r="G1256" s="3"/>
      <c r="H1256" s="3"/>
      <c r="I1256" s="3"/>
      <c r="J1256" s="3"/>
      <c r="K1256" s="3"/>
      <c r="L1256" s="3"/>
      <c r="M1256" s="3"/>
      <c r="N1256" s="3"/>
    </row>
    <row r="1257" spans="3:14" x14ac:dyDescent="0.2">
      <c r="C1257" s="2"/>
      <c r="D1257" s="3"/>
      <c r="E1257" s="3"/>
      <c r="F1257" s="3"/>
      <c r="G1257" s="3"/>
      <c r="H1257" s="3"/>
      <c r="I1257" s="3"/>
      <c r="J1257" s="3"/>
      <c r="K1257" s="3"/>
      <c r="L1257" s="3"/>
      <c r="M1257" s="3"/>
      <c r="N1257" s="3"/>
    </row>
    <row r="1258" spans="3:14" x14ac:dyDescent="0.2">
      <c r="C1258" s="2"/>
      <c r="D1258" s="3"/>
      <c r="E1258" s="3"/>
      <c r="F1258" s="3"/>
      <c r="G1258" s="3"/>
      <c r="H1258" s="3"/>
      <c r="I1258" s="3"/>
      <c r="J1258" s="3"/>
      <c r="K1258" s="3"/>
      <c r="L1258" s="3"/>
      <c r="M1258" s="3"/>
      <c r="N1258" s="3"/>
    </row>
    <row r="1259" spans="3:14" x14ac:dyDescent="0.2">
      <c r="C1259" s="2"/>
      <c r="D1259" s="3"/>
      <c r="E1259" s="3"/>
      <c r="F1259" s="3"/>
      <c r="G1259" s="3"/>
      <c r="H1259" s="3"/>
      <c r="I1259" s="3"/>
      <c r="J1259" s="3"/>
      <c r="K1259" s="3"/>
      <c r="L1259" s="3"/>
      <c r="M1259" s="3"/>
      <c r="N1259" s="3"/>
    </row>
    <row r="1260" spans="3:14" x14ac:dyDescent="0.2">
      <c r="C1260" s="2"/>
      <c r="D1260" s="3"/>
      <c r="E1260" s="3"/>
      <c r="F1260" s="3"/>
      <c r="G1260" s="3"/>
      <c r="H1260" s="3"/>
      <c r="I1260" s="3"/>
      <c r="J1260" s="3"/>
      <c r="K1260" s="3"/>
      <c r="L1260" s="3"/>
      <c r="M1260" s="3"/>
      <c r="N1260" s="3"/>
    </row>
    <row r="1261" spans="3:14" x14ac:dyDescent="0.2">
      <c r="C1261" s="2"/>
      <c r="D1261" s="3"/>
      <c r="E1261" s="3"/>
      <c r="F1261" s="3"/>
      <c r="G1261" s="3"/>
      <c r="H1261" s="3"/>
      <c r="I1261" s="3"/>
      <c r="J1261" s="3"/>
      <c r="K1261" s="3"/>
      <c r="L1261" s="3"/>
      <c r="M1261" s="3"/>
      <c r="N1261" s="3"/>
    </row>
    <row r="1262" spans="3:14" x14ac:dyDescent="0.2">
      <c r="C1262" s="2"/>
      <c r="D1262" s="3"/>
      <c r="E1262" s="3"/>
      <c r="F1262" s="3"/>
      <c r="G1262" s="3"/>
      <c r="H1262" s="3"/>
      <c r="I1262" s="3"/>
      <c r="J1262" s="3"/>
      <c r="K1262" s="3"/>
      <c r="L1262" s="3"/>
      <c r="M1262" s="3"/>
      <c r="N1262" s="3"/>
    </row>
    <row r="1263" spans="3:14" x14ac:dyDescent="0.2">
      <c r="C1263" s="2"/>
      <c r="D1263" s="3"/>
      <c r="E1263" s="3"/>
      <c r="F1263" s="3"/>
      <c r="G1263" s="3"/>
      <c r="H1263" s="3"/>
      <c r="I1263" s="3"/>
      <c r="J1263" s="3"/>
      <c r="K1263" s="3"/>
      <c r="L1263" s="3"/>
      <c r="M1263" s="3"/>
      <c r="N1263" s="3"/>
    </row>
    <row r="1264" spans="3:14" x14ac:dyDescent="0.2">
      <c r="C1264" s="2"/>
      <c r="D1264" s="3"/>
      <c r="E1264" s="3"/>
      <c r="F1264" s="3"/>
      <c r="G1264" s="3"/>
      <c r="H1264" s="3"/>
      <c r="I1264" s="3"/>
      <c r="J1264" s="3"/>
      <c r="K1264" s="3"/>
      <c r="L1264" s="3"/>
      <c r="M1264" s="3"/>
      <c r="N1264" s="3"/>
    </row>
    <row r="1265" spans="3:14" x14ac:dyDescent="0.2">
      <c r="C1265" s="2"/>
      <c r="D1265" s="3"/>
      <c r="E1265" s="3"/>
      <c r="F1265" s="3"/>
      <c r="G1265" s="3"/>
      <c r="H1265" s="3"/>
      <c r="I1265" s="3"/>
      <c r="J1265" s="3"/>
      <c r="K1265" s="3"/>
      <c r="L1265" s="3"/>
      <c r="M1265" s="3"/>
      <c r="N1265" s="3"/>
    </row>
    <row r="1266" spans="3:14" x14ac:dyDescent="0.2">
      <c r="C1266" s="2"/>
      <c r="D1266" s="3"/>
      <c r="E1266" s="3"/>
      <c r="F1266" s="3"/>
      <c r="G1266" s="3"/>
      <c r="H1266" s="3"/>
      <c r="I1266" s="3"/>
      <c r="J1266" s="3"/>
      <c r="K1266" s="3"/>
      <c r="L1266" s="3"/>
      <c r="M1266" s="3"/>
      <c r="N1266" s="3"/>
    </row>
    <row r="1267" spans="3:14" x14ac:dyDescent="0.2">
      <c r="C1267" s="2"/>
      <c r="D1267" s="3"/>
      <c r="E1267" s="3"/>
      <c r="F1267" s="3"/>
      <c r="G1267" s="3"/>
      <c r="H1267" s="3"/>
      <c r="I1267" s="3"/>
      <c r="J1267" s="3"/>
      <c r="K1267" s="3"/>
      <c r="L1267" s="3"/>
      <c r="M1267" s="3"/>
      <c r="N1267" s="3"/>
    </row>
    <row r="1268" spans="3:14" x14ac:dyDescent="0.2">
      <c r="C1268" s="2"/>
      <c r="D1268" s="3"/>
      <c r="E1268" s="3"/>
      <c r="F1268" s="3"/>
      <c r="G1268" s="3"/>
      <c r="H1268" s="3"/>
      <c r="I1268" s="3"/>
      <c r="J1268" s="3"/>
      <c r="K1268" s="3"/>
      <c r="L1268" s="3"/>
      <c r="M1268" s="3"/>
      <c r="N1268" s="3"/>
    </row>
    <row r="1269" spans="3:14" x14ac:dyDescent="0.2">
      <c r="C1269" s="2"/>
      <c r="D1269" s="3"/>
      <c r="E1269" s="3"/>
      <c r="F1269" s="3"/>
      <c r="G1269" s="3"/>
      <c r="H1269" s="3"/>
      <c r="I1269" s="3"/>
      <c r="J1269" s="3"/>
      <c r="K1269" s="3"/>
      <c r="L1269" s="3"/>
      <c r="M1269" s="3"/>
      <c r="N1269" s="3"/>
    </row>
    <row r="1270" spans="3:14" x14ac:dyDescent="0.2">
      <c r="C1270" s="2"/>
      <c r="D1270" s="3"/>
      <c r="E1270" s="3"/>
      <c r="F1270" s="3"/>
      <c r="G1270" s="3"/>
      <c r="H1270" s="3"/>
      <c r="I1270" s="3"/>
      <c r="J1270" s="3"/>
      <c r="K1270" s="3"/>
      <c r="L1270" s="3"/>
      <c r="M1270" s="3"/>
      <c r="N1270" s="3"/>
    </row>
    <row r="1271" spans="3:14" x14ac:dyDescent="0.2">
      <c r="C1271" s="2"/>
      <c r="D1271" s="3"/>
      <c r="E1271" s="3"/>
      <c r="F1271" s="3"/>
      <c r="G1271" s="3"/>
      <c r="H1271" s="3"/>
      <c r="I1271" s="3"/>
      <c r="J1271" s="3"/>
      <c r="K1271" s="3"/>
      <c r="L1271" s="3"/>
      <c r="M1271" s="3"/>
      <c r="N1271" s="3"/>
    </row>
    <row r="1272" spans="3:14" x14ac:dyDescent="0.2">
      <c r="C1272" s="2"/>
      <c r="D1272" s="3"/>
      <c r="E1272" s="3"/>
      <c r="F1272" s="3"/>
      <c r="G1272" s="3"/>
      <c r="H1272" s="3"/>
      <c r="I1272" s="3"/>
      <c r="J1272" s="3"/>
      <c r="K1272" s="3"/>
      <c r="L1272" s="3"/>
      <c r="M1272" s="3"/>
      <c r="N1272" s="3"/>
    </row>
    <row r="1273" spans="3:14" x14ac:dyDescent="0.2">
      <c r="C1273" s="2"/>
      <c r="D1273" s="3"/>
      <c r="E1273" s="3"/>
      <c r="F1273" s="3"/>
      <c r="G1273" s="3"/>
      <c r="H1273" s="3"/>
      <c r="I1273" s="3"/>
      <c r="J1273" s="3"/>
      <c r="K1273" s="3"/>
      <c r="L1273" s="3"/>
      <c r="M1273" s="3"/>
      <c r="N1273" s="3"/>
    </row>
    <row r="1274" spans="3:14" x14ac:dyDescent="0.2">
      <c r="C1274" s="2"/>
      <c r="D1274" s="3"/>
      <c r="E1274" s="3"/>
      <c r="F1274" s="3"/>
      <c r="G1274" s="3"/>
      <c r="H1274" s="3"/>
      <c r="I1274" s="3"/>
      <c r="J1274" s="3"/>
      <c r="K1274" s="3"/>
      <c r="L1274" s="3"/>
      <c r="M1274" s="3"/>
      <c r="N1274" s="3"/>
    </row>
    <row r="1275" spans="3:14" x14ac:dyDescent="0.2">
      <c r="C1275" s="2"/>
      <c r="D1275" s="3"/>
      <c r="E1275" s="3"/>
      <c r="F1275" s="3"/>
      <c r="G1275" s="3"/>
      <c r="H1275" s="3"/>
      <c r="I1275" s="3"/>
      <c r="J1275" s="3"/>
      <c r="K1275" s="3"/>
      <c r="L1275" s="3"/>
      <c r="M1275" s="3"/>
      <c r="N1275" s="3"/>
    </row>
    <row r="1276" spans="3:14" x14ac:dyDescent="0.2">
      <c r="C1276" s="2"/>
      <c r="D1276" s="3"/>
      <c r="E1276" s="3"/>
      <c r="F1276" s="3"/>
      <c r="G1276" s="3"/>
      <c r="H1276" s="3"/>
      <c r="I1276" s="3"/>
      <c r="J1276" s="3"/>
      <c r="K1276" s="3"/>
      <c r="L1276" s="3"/>
      <c r="M1276" s="3"/>
      <c r="N1276" s="3"/>
    </row>
    <row r="1277" spans="3:14" x14ac:dyDescent="0.2">
      <c r="C1277" s="2"/>
      <c r="D1277" s="3"/>
      <c r="E1277" s="3"/>
      <c r="F1277" s="3"/>
      <c r="G1277" s="3"/>
      <c r="H1277" s="3"/>
      <c r="I1277" s="3"/>
      <c r="J1277" s="3"/>
      <c r="K1277" s="3"/>
      <c r="L1277" s="3"/>
      <c r="M1277" s="3"/>
      <c r="N1277" s="3"/>
    </row>
    <row r="1278" spans="3:14" x14ac:dyDescent="0.2">
      <c r="C1278" s="2"/>
      <c r="D1278" s="3"/>
      <c r="E1278" s="3"/>
      <c r="F1278" s="3"/>
      <c r="G1278" s="3"/>
      <c r="H1278" s="3"/>
      <c r="I1278" s="3"/>
      <c r="J1278" s="3"/>
      <c r="K1278" s="3"/>
      <c r="L1278" s="3"/>
      <c r="M1278" s="3"/>
      <c r="N1278" s="3"/>
    </row>
    <row r="1279" spans="3:14" x14ac:dyDescent="0.2">
      <c r="C1279" s="2"/>
      <c r="D1279" s="3"/>
      <c r="E1279" s="3"/>
      <c r="F1279" s="3"/>
      <c r="G1279" s="3"/>
      <c r="H1279" s="3"/>
      <c r="I1279" s="3"/>
      <c r="J1279" s="3"/>
      <c r="K1279" s="3"/>
      <c r="L1279" s="3"/>
      <c r="M1279" s="3"/>
      <c r="N1279" s="3"/>
    </row>
    <row r="1280" spans="3:14" x14ac:dyDescent="0.2">
      <c r="C1280" s="2"/>
      <c r="D1280" s="3"/>
      <c r="E1280" s="3"/>
      <c r="F1280" s="3"/>
      <c r="G1280" s="3"/>
      <c r="H1280" s="3"/>
      <c r="I1280" s="3"/>
      <c r="J1280" s="3"/>
      <c r="K1280" s="3"/>
      <c r="L1280" s="3"/>
      <c r="M1280" s="3"/>
      <c r="N1280" s="3"/>
    </row>
    <row r="1281" spans="3:14" x14ac:dyDescent="0.2">
      <c r="C1281" s="2"/>
      <c r="D1281" s="3"/>
      <c r="E1281" s="3"/>
      <c r="F1281" s="3"/>
      <c r="G1281" s="3"/>
      <c r="H1281" s="3"/>
      <c r="I1281" s="3"/>
      <c r="J1281" s="3"/>
      <c r="K1281" s="3"/>
      <c r="L1281" s="3"/>
      <c r="M1281" s="3"/>
      <c r="N1281" s="3"/>
    </row>
    <row r="1282" spans="3:14" x14ac:dyDescent="0.2">
      <c r="C1282" s="2"/>
      <c r="D1282" s="3"/>
      <c r="E1282" s="3"/>
      <c r="F1282" s="3"/>
      <c r="G1282" s="3"/>
      <c r="H1282" s="3"/>
      <c r="I1282" s="3"/>
      <c r="J1282" s="3"/>
      <c r="K1282" s="3"/>
      <c r="L1282" s="3"/>
      <c r="M1282" s="3"/>
      <c r="N1282" s="3"/>
    </row>
    <row r="1283" spans="3:14" x14ac:dyDescent="0.2">
      <c r="C1283" s="2"/>
      <c r="D1283" s="3"/>
      <c r="E1283" s="3"/>
      <c r="F1283" s="3"/>
      <c r="G1283" s="3"/>
      <c r="H1283" s="3"/>
      <c r="I1283" s="3"/>
      <c r="J1283" s="3"/>
      <c r="K1283" s="3"/>
      <c r="L1283" s="3"/>
      <c r="M1283" s="3"/>
      <c r="N1283" s="3"/>
    </row>
    <row r="1284" spans="3:14" x14ac:dyDescent="0.2">
      <c r="C1284" s="2"/>
      <c r="D1284" s="3"/>
      <c r="E1284" s="3"/>
      <c r="F1284" s="3"/>
      <c r="G1284" s="3"/>
      <c r="H1284" s="3"/>
      <c r="I1284" s="3"/>
      <c r="J1284" s="3"/>
      <c r="K1284" s="3"/>
      <c r="L1284" s="3"/>
      <c r="M1284" s="3"/>
      <c r="N1284" s="3"/>
    </row>
    <row r="1285" spans="3:14" x14ac:dyDescent="0.2">
      <c r="C1285" s="2"/>
      <c r="D1285" s="3"/>
      <c r="E1285" s="3"/>
      <c r="F1285" s="3"/>
      <c r="G1285" s="3"/>
      <c r="H1285" s="3"/>
      <c r="I1285" s="3"/>
      <c r="J1285" s="3"/>
      <c r="K1285" s="3"/>
      <c r="L1285" s="3"/>
      <c r="M1285" s="3"/>
      <c r="N1285" s="3"/>
    </row>
    <row r="1286" spans="3:14" x14ac:dyDescent="0.2">
      <c r="C1286" s="2"/>
      <c r="D1286" s="3"/>
      <c r="E1286" s="3"/>
      <c r="F1286" s="3"/>
      <c r="G1286" s="3"/>
      <c r="H1286" s="3"/>
      <c r="I1286" s="3"/>
      <c r="J1286" s="3"/>
      <c r="K1286" s="3"/>
      <c r="L1286" s="3"/>
      <c r="M1286" s="3"/>
      <c r="N1286" s="3"/>
    </row>
    <row r="1287" spans="3:14" x14ac:dyDescent="0.2">
      <c r="C1287" s="2"/>
      <c r="D1287" s="3"/>
      <c r="E1287" s="3"/>
      <c r="F1287" s="3"/>
      <c r="G1287" s="3"/>
      <c r="H1287" s="3"/>
      <c r="I1287" s="3"/>
      <c r="J1287" s="3"/>
      <c r="K1287" s="3"/>
      <c r="L1287" s="3"/>
      <c r="M1287" s="3"/>
      <c r="N1287" s="3"/>
    </row>
    <row r="1288" spans="3:14" x14ac:dyDescent="0.2">
      <c r="C1288" s="2"/>
      <c r="D1288" s="3"/>
      <c r="E1288" s="3"/>
      <c r="F1288" s="3"/>
      <c r="G1288" s="3"/>
      <c r="H1288" s="3"/>
      <c r="I1288" s="3"/>
      <c r="J1288" s="3"/>
      <c r="K1288" s="3"/>
      <c r="L1288" s="3"/>
      <c r="M1288" s="3"/>
      <c r="N1288" s="3"/>
    </row>
    <row r="1289" spans="3:14" x14ac:dyDescent="0.2">
      <c r="C1289" s="2"/>
      <c r="D1289" s="3"/>
      <c r="E1289" s="3"/>
      <c r="F1289" s="3"/>
      <c r="G1289" s="3"/>
      <c r="H1289" s="3"/>
      <c r="I1289" s="3"/>
      <c r="J1289" s="3"/>
      <c r="K1289" s="3"/>
      <c r="L1289" s="3"/>
      <c r="M1289" s="3"/>
      <c r="N1289" s="3"/>
    </row>
    <row r="1290" spans="3:14" x14ac:dyDescent="0.2">
      <c r="C1290" s="2"/>
      <c r="D1290" s="3"/>
      <c r="E1290" s="3"/>
      <c r="F1290" s="3"/>
      <c r="G1290" s="3"/>
      <c r="H1290" s="3"/>
      <c r="I1290" s="3"/>
      <c r="J1290" s="3"/>
      <c r="K1290" s="3"/>
      <c r="L1290" s="3"/>
      <c r="M1290" s="3"/>
      <c r="N1290" s="3"/>
    </row>
    <row r="1291" spans="3:14" x14ac:dyDescent="0.2">
      <c r="C1291" s="2"/>
      <c r="D1291" s="3"/>
      <c r="E1291" s="3"/>
      <c r="F1291" s="3"/>
      <c r="G1291" s="3"/>
      <c r="H1291" s="3"/>
      <c r="I1291" s="3"/>
      <c r="J1291" s="3"/>
      <c r="K1291" s="3"/>
      <c r="L1291" s="3"/>
      <c r="M1291" s="3"/>
      <c r="N1291" s="3"/>
    </row>
    <row r="1292" spans="3:14" x14ac:dyDescent="0.2">
      <c r="C1292" s="2"/>
      <c r="D1292" s="3"/>
      <c r="E1292" s="3"/>
      <c r="F1292" s="3"/>
      <c r="G1292" s="3"/>
      <c r="H1292" s="3"/>
      <c r="I1292" s="3"/>
      <c r="J1292" s="3"/>
      <c r="K1292" s="3"/>
      <c r="L1292" s="3"/>
      <c r="M1292" s="3"/>
      <c r="N1292" s="3"/>
    </row>
    <row r="1293" spans="3:14" x14ac:dyDescent="0.2">
      <c r="C1293" s="2"/>
      <c r="D1293" s="3"/>
      <c r="E1293" s="3"/>
      <c r="F1293" s="3"/>
      <c r="G1293" s="3"/>
      <c r="H1293" s="3"/>
      <c r="I1293" s="3"/>
      <c r="J1293" s="3"/>
      <c r="K1293" s="3"/>
      <c r="L1293" s="3"/>
      <c r="M1293" s="3"/>
      <c r="N1293" s="3"/>
    </row>
    <row r="1294" spans="3:14" x14ac:dyDescent="0.2">
      <c r="C1294" s="2"/>
      <c r="D1294" s="3"/>
      <c r="E1294" s="3"/>
      <c r="F1294" s="3"/>
      <c r="G1294" s="3"/>
      <c r="H1294" s="3"/>
      <c r="I1294" s="3"/>
      <c r="J1294" s="3"/>
      <c r="K1294" s="3"/>
      <c r="L1294" s="3"/>
      <c r="M1294" s="3"/>
      <c r="N1294" s="3"/>
    </row>
    <row r="1295" spans="3:14" x14ac:dyDescent="0.2">
      <c r="C1295" s="2"/>
      <c r="D1295" s="3"/>
      <c r="E1295" s="3"/>
      <c r="F1295" s="3"/>
      <c r="G1295" s="3"/>
      <c r="H1295" s="3"/>
      <c r="I1295" s="3"/>
      <c r="J1295" s="3"/>
      <c r="K1295" s="3"/>
      <c r="L1295" s="3"/>
      <c r="M1295" s="3"/>
      <c r="N1295" s="3"/>
    </row>
    <row r="1296" spans="3:14" x14ac:dyDescent="0.2">
      <c r="C1296" s="2"/>
      <c r="D1296" s="3"/>
      <c r="E1296" s="3"/>
      <c r="F1296" s="3"/>
      <c r="G1296" s="3"/>
      <c r="H1296" s="3"/>
      <c r="I1296" s="3"/>
      <c r="J1296" s="3"/>
      <c r="K1296" s="3"/>
      <c r="L1296" s="3"/>
      <c r="M1296" s="3"/>
      <c r="N1296" s="3"/>
    </row>
    <row r="1297" spans="3:14" x14ac:dyDescent="0.2">
      <c r="C1297" s="2"/>
      <c r="D1297" s="3"/>
      <c r="E1297" s="3"/>
      <c r="F1297" s="3"/>
      <c r="G1297" s="3"/>
      <c r="H1297" s="3"/>
      <c r="I1297" s="3"/>
      <c r="J1297" s="3"/>
      <c r="K1297" s="3"/>
      <c r="L1297" s="3"/>
      <c r="M1297" s="3"/>
      <c r="N1297" s="3"/>
    </row>
    <row r="1298" spans="3:14" x14ac:dyDescent="0.2">
      <c r="C1298" s="2"/>
      <c r="D1298" s="3"/>
      <c r="E1298" s="3"/>
      <c r="F1298" s="3"/>
      <c r="G1298" s="3"/>
      <c r="H1298" s="3"/>
      <c r="I1298" s="3"/>
      <c r="J1298" s="3"/>
      <c r="K1298" s="3"/>
      <c r="L1298" s="3"/>
      <c r="M1298" s="3"/>
      <c r="N1298" s="3"/>
    </row>
    <row r="1299" spans="3:14" x14ac:dyDescent="0.2">
      <c r="C1299" s="2"/>
      <c r="D1299" s="3"/>
      <c r="E1299" s="3"/>
      <c r="F1299" s="3"/>
      <c r="G1299" s="3"/>
      <c r="H1299" s="3"/>
      <c r="I1299" s="3"/>
      <c r="J1299" s="3"/>
      <c r="K1299" s="3"/>
      <c r="L1299" s="3"/>
      <c r="M1299" s="3"/>
      <c r="N1299" s="3"/>
    </row>
    <row r="1300" spans="3:14" x14ac:dyDescent="0.2">
      <c r="C1300" s="2"/>
      <c r="D1300" s="3"/>
      <c r="E1300" s="3"/>
      <c r="F1300" s="3"/>
      <c r="G1300" s="3"/>
      <c r="H1300" s="3"/>
      <c r="I1300" s="3"/>
      <c r="J1300" s="3"/>
      <c r="K1300" s="3"/>
      <c r="L1300" s="3"/>
      <c r="M1300" s="3"/>
      <c r="N1300" s="3"/>
    </row>
    <row r="1301" spans="3:14" x14ac:dyDescent="0.2">
      <c r="C1301" s="2"/>
      <c r="D1301" s="3"/>
      <c r="E1301" s="3"/>
      <c r="F1301" s="3"/>
      <c r="G1301" s="3"/>
      <c r="H1301" s="3"/>
      <c r="I1301" s="3"/>
      <c r="J1301" s="3"/>
      <c r="K1301" s="3"/>
      <c r="L1301" s="3"/>
      <c r="M1301" s="3"/>
      <c r="N1301" s="3"/>
    </row>
    <row r="1302" spans="3:14" x14ac:dyDescent="0.2">
      <c r="C1302" s="2"/>
      <c r="D1302" s="3"/>
      <c r="E1302" s="3"/>
      <c r="F1302" s="3"/>
      <c r="G1302" s="3"/>
      <c r="H1302" s="3"/>
      <c r="I1302" s="3"/>
      <c r="J1302" s="3"/>
      <c r="K1302" s="3"/>
      <c r="L1302" s="3"/>
      <c r="M1302" s="3"/>
      <c r="N1302" s="3"/>
    </row>
    <row r="1303" spans="3:14" x14ac:dyDescent="0.2">
      <c r="C1303" s="2"/>
      <c r="D1303" s="3"/>
      <c r="E1303" s="3"/>
      <c r="F1303" s="3"/>
      <c r="G1303" s="3"/>
      <c r="H1303" s="3"/>
      <c r="I1303" s="3"/>
      <c r="J1303" s="3"/>
      <c r="K1303" s="3"/>
      <c r="L1303" s="3"/>
      <c r="M1303" s="3"/>
      <c r="N1303" s="3"/>
    </row>
    <row r="1304" spans="3:14" x14ac:dyDescent="0.2">
      <c r="C1304" s="2"/>
      <c r="D1304" s="3"/>
      <c r="E1304" s="3"/>
      <c r="F1304" s="3"/>
      <c r="G1304" s="3"/>
      <c r="H1304" s="3"/>
      <c r="I1304" s="3"/>
      <c r="J1304" s="3"/>
      <c r="K1304" s="3"/>
      <c r="L1304" s="3"/>
      <c r="M1304" s="3"/>
      <c r="N1304" s="3"/>
    </row>
    <row r="1305" spans="3:14" x14ac:dyDescent="0.2">
      <c r="C1305" s="2"/>
      <c r="D1305" s="3"/>
      <c r="E1305" s="3"/>
      <c r="F1305" s="3"/>
      <c r="G1305" s="3"/>
      <c r="H1305" s="3"/>
      <c r="I1305" s="3"/>
      <c r="J1305" s="3"/>
      <c r="K1305" s="3"/>
      <c r="L1305" s="3"/>
      <c r="M1305" s="3"/>
      <c r="N1305" s="3"/>
    </row>
    <row r="1306" spans="3:14" x14ac:dyDescent="0.2">
      <c r="C1306" s="2"/>
      <c r="D1306" s="3"/>
      <c r="E1306" s="3"/>
      <c r="F1306" s="3"/>
      <c r="G1306" s="3"/>
      <c r="H1306" s="3"/>
      <c r="I1306" s="3"/>
      <c r="J1306" s="3"/>
      <c r="K1306" s="3"/>
      <c r="L1306" s="3"/>
      <c r="M1306" s="3"/>
      <c r="N1306" s="3"/>
    </row>
    <row r="1307" spans="3:14" x14ac:dyDescent="0.2">
      <c r="C1307" s="2"/>
      <c r="D1307" s="3"/>
      <c r="E1307" s="3"/>
      <c r="F1307" s="3"/>
      <c r="G1307" s="3"/>
      <c r="H1307" s="3"/>
      <c r="I1307" s="3"/>
      <c r="J1307" s="3"/>
      <c r="K1307" s="3"/>
      <c r="L1307" s="3"/>
      <c r="M1307" s="3"/>
      <c r="N1307" s="3"/>
    </row>
    <row r="1308" spans="3:14" x14ac:dyDescent="0.2">
      <c r="C1308" s="2"/>
      <c r="D1308" s="3"/>
      <c r="E1308" s="3"/>
      <c r="F1308" s="3"/>
      <c r="G1308" s="3"/>
      <c r="H1308" s="3"/>
      <c r="I1308" s="3"/>
      <c r="J1308" s="3"/>
      <c r="K1308" s="3"/>
      <c r="L1308" s="3"/>
      <c r="M1308" s="3"/>
      <c r="N1308" s="3"/>
    </row>
    <row r="1309" spans="3:14" x14ac:dyDescent="0.2">
      <c r="C1309" s="2"/>
      <c r="D1309" s="3"/>
      <c r="E1309" s="3"/>
      <c r="F1309" s="3"/>
      <c r="G1309" s="3"/>
      <c r="H1309" s="3"/>
      <c r="I1309" s="3"/>
      <c r="J1309" s="3"/>
      <c r="K1309" s="3"/>
      <c r="L1309" s="3"/>
      <c r="M1309" s="3"/>
      <c r="N1309" s="3"/>
    </row>
    <row r="1310" spans="3:14" x14ac:dyDescent="0.2">
      <c r="C1310" s="2"/>
      <c r="D1310" s="3"/>
      <c r="E1310" s="3"/>
      <c r="F1310" s="3"/>
      <c r="G1310" s="3"/>
      <c r="H1310" s="3"/>
      <c r="I1310" s="3"/>
      <c r="J1310" s="3"/>
      <c r="K1310" s="3"/>
      <c r="L1310" s="3"/>
      <c r="M1310" s="3"/>
      <c r="N1310" s="3"/>
    </row>
    <row r="1311" spans="3:14" x14ac:dyDescent="0.2">
      <c r="C1311" s="2"/>
      <c r="D1311" s="3"/>
      <c r="E1311" s="3"/>
      <c r="F1311" s="3"/>
      <c r="G1311" s="3"/>
      <c r="H1311" s="3"/>
      <c r="I1311" s="3"/>
      <c r="J1311" s="3"/>
      <c r="K1311" s="3"/>
      <c r="L1311" s="3"/>
      <c r="M1311" s="3"/>
      <c r="N1311" s="3"/>
    </row>
    <row r="1312" spans="3:14" x14ac:dyDescent="0.2">
      <c r="C1312" s="2"/>
      <c r="D1312" s="3"/>
      <c r="E1312" s="3"/>
      <c r="F1312" s="3"/>
      <c r="G1312" s="3"/>
      <c r="H1312" s="3"/>
      <c r="I1312" s="3"/>
      <c r="J1312" s="3"/>
      <c r="K1312" s="3"/>
      <c r="L1312" s="3"/>
      <c r="M1312" s="3"/>
      <c r="N1312" s="3"/>
    </row>
    <row r="1313" spans="3:14" x14ac:dyDescent="0.2">
      <c r="C1313" s="2"/>
      <c r="D1313" s="3"/>
      <c r="E1313" s="3"/>
      <c r="F1313" s="3"/>
      <c r="G1313" s="3"/>
      <c r="H1313" s="3"/>
      <c r="I1313" s="3"/>
      <c r="J1313" s="3"/>
      <c r="K1313" s="3"/>
      <c r="L1313" s="3"/>
      <c r="M1313" s="3"/>
      <c r="N1313" s="3"/>
    </row>
    <row r="1314" spans="3:14" x14ac:dyDescent="0.2">
      <c r="C1314" s="2"/>
      <c r="D1314" s="3"/>
      <c r="E1314" s="3"/>
      <c r="F1314" s="3"/>
      <c r="G1314" s="3"/>
      <c r="H1314" s="3"/>
      <c r="I1314" s="3"/>
      <c r="J1314" s="3"/>
      <c r="K1314" s="3"/>
      <c r="L1314" s="3"/>
      <c r="M1314" s="3"/>
      <c r="N1314" s="3"/>
    </row>
    <row r="1315" spans="3:14" x14ac:dyDescent="0.2">
      <c r="C1315" s="2"/>
      <c r="D1315" s="3"/>
      <c r="E1315" s="3"/>
      <c r="F1315" s="3"/>
      <c r="G1315" s="3"/>
      <c r="H1315" s="3"/>
      <c r="I1315" s="3"/>
      <c r="J1315" s="3"/>
      <c r="K1315" s="3"/>
      <c r="L1315" s="3"/>
      <c r="M1315" s="3"/>
      <c r="N1315" s="3"/>
    </row>
    <row r="1316" spans="3:14" x14ac:dyDescent="0.2">
      <c r="C1316" s="2"/>
      <c r="D1316" s="3"/>
      <c r="E1316" s="3"/>
      <c r="F1316" s="3"/>
      <c r="G1316" s="3"/>
      <c r="H1316" s="3"/>
      <c r="I1316" s="3"/>
      <c r="J1316" s="3"/>
      <c r="K1316" s="3"/>
      <c r="L1316" s="3"/>
      <c r="M1316" s="3"/>
      <c r="N1316" s="3"/>
    </row>
    <row r="1317" spans="3:14" x14ac:dyDescent="0.2">
      <c r="C1317" s="2"/>
      <c r="D1317" s="3"/>
      <c r="E1317" s="3"/>
      <c r="F1317" s="3"/>
      <c r="G1317" s="3"/>
      <c r="H1317" s="3"/>
      <c r="I1317" s="3"/>
      <c r="J1317" s="3"/>
      <c r="K1317" s="3"/>
      <c r="L1317" s="3"/>
      <c r="M1317" s="3"/>
      <c r="N1317" s="3"/>
    </row>
    <row r="1318" spans="3:14" x14ac:dyDescent="0.2">
      <c r="C1318" s="2"/>
      <c r="D1318" s="3"/>
      <c r="E1318" s="3"/>
      <c r="F1318" s="3"/>
      <c r="G1318" s="3"/>
      <c r="H1318" s="3"/>
      <c r="I1318" s="3"/>
      <c r="J1318" s="3"/>
      <c r="K1318" s="3"/>
      <c r="L1318" s="3"/>
      <c r="M1318" s="3"/>
      <c r="N1318" s="3"/>
    </row>
    <row r="1319" spans="3:14" x14ac:dyDescent="0.2">
      <c r="C1319" s="2"/>
      <c r="D1319" s="3"/>
      <c r="E1319" s="3"/>
      <c r="F1319" s="3"/>
      <c r="G1319" s="3"/>
      <c r="H1319" s="3"/>
      <c r="I1319" s="3"/>
      <c r="J1319" s="3"/>
      <c r="K1319" s="3"/>
      <c r="L1319" s="3"/>
      <c r="M1319" s="3"/>
      <c r="N1319" s="3"/>
    </row>
    <row r="1320" spans="3:14" x14ac:dyDescent="0.2">
      <c r="C1320" s="2"/>
      <c r="D1320" s="3"/>
      <c r="E1320" s="3"/>
      <c r="F1320" s="3"/>
      <c r="G1320" s="3"/>
      <c r="H1320" s="3"/>
      <c r="I1320" s="3"/>
      <c r="J1320" s="3"/>
      <c r="K1320" s="3"/>
      <c r="L1320" s="3"/>
      <c r="M1320" s="3"/>
      <c r="N1320" s="3"/>
    </row>
    <row r="1321" spans="3:14" x14ac:dyDescent="0.2">
      <c r="C1321" s="2"/>
      <c r="D1321" s="3"/>
      <c r="E1321" s="3"/>
      <c r="F1321" s="3"/>
      <c r="G1321" s="3"/>
      <c r="H1321" s="3"/>
      <c r="I1321" s="3"/>
      <c r="J1321" s="3"/>
      <c r="K1321" s="3"/>
      <c r="L1321" s="3"/>
      <c r="M1321" s="3"/>
      <c r="N1321" s="3"/>
    </row>
    <row r="1322" spans="3:14" x14ac:dyDescent="0.2">
      <c r="C1322" s="2"/>
      <c r="D1322" s="3"/>
      <c r="E1322" s="3"/>
      <c r="F1322" s="3"/>
      <c r="G1322" s="3"/>
      <c r="H1322" s="3"/>
      <c r="I1322" s="3"/>
      <c r="J1322" s="3"/>
      <c r="K1322" s="3"/>
      <c r="L1322" s="3"/>
      <c r="M1322" s="3"/>
      <c r="N1322" s="3"/>
    </row>
    <row r="1323" spans="3:14" x14ac:dyDescent="0.2">
      <c r="C1323" s="2"/>
      <c r="D1323" s="3"/>
      <c r="E1323" s="3"/>
      <c r="F1323" s="3"/>
      <c r="G1323" s="3"/>
      <c r="H1323" s="3"/>
      <c r="I1323" s="3"/>
      <c r="J1323" s="3"/>
      <c r="K1323" s="3"/>
      <c r="L1323" s="3"/>
      <c r="M1323" s="3"/>
      <c r="N1323" s="3"/>
    </row>
    <row r="1324" spans="3:14" x14ac:dyDescent="0.2">
      <c r="C1324" s="2"/>
      <c r="D1324" s="3"/>
      <c r="E1324" s="3"/>
      <c r="F1324" s="3"/>
      <c r="G1324" s="3"/>
      <c r="H1324" s="3"/>
      <c r="I1324" s="3"/>
      <c r="J1324" s="3"/>
      <c r="K1324" s="3"/>
      <c r="L1324" s="3"/>
      <c r="M1324" s="3"/>
      <c r="N1324" s="3"/>
    </row>
    <row r="1325" spans="3:14" x14ac:dyDescent="0.2">
      <c r="C1325" s="2"/>
      <c r="D1325" s="3"/>
      <c r="E1325" s="3"/>
      <c r="F1325" s="3"/>
      <c r="G1325" s="3"/>
      <c r="H1325" s="3"/>
      <c r="I1325" s="3"/>
      <c r="J1325" s="3"/>
      <c r="K1325" s="3"/>
      <c r="L1325" s="3"/>
      <c r="M1325" s="3"/>
      <c r="N1325" s="3"/>
    </row>
    <row r="1326" spans="3:14" x14ac:dyDescent="0.2">
      <c r="C1326" s="2"/>
      <c r="D1326" s="3"/>
      <c r="E1326" s="3"/>
      <c r="F1326" s="3"/>
      <c r="G1326" s="3"/>
      <c r="H1326" s="3"/>
      <c r="I1326" s="3"/>
      <c r="J1326" s="3"/>
      <c r="K1326" s="3"/>
      <c r="L1326" s="3"/>
      <c r="M1326" s="3"/>
      <c r="N1326" s="3"/>
    </row>
    <row r="1327" spans="3:14" x14ac:dyDescent="0.2">
      <c r="C1327" s="2"/>
      <c r="D1327" s="3"/>
      <c r="E1327" s="3"/>
      <c r="F1327" s="3"/>
      <c r="G1327" s="3"/>
      <c r="H1327" s="3"/>
      <c r="I1327" s="3"/>
      <c r="J1327" s="3"/>
      <c r="K1327" s="3"/>
      <c r="L1327" s="3"/>
      <c r="M1327" s="3"/>
      <c r="N1327" s="3"/>
    </row>
    <row r="1328" spans="3:14" x14ac:dyDescent="0.2">
      <c r="C1328" s="2"/>
      <c r="D1328" s="3"/>
      <c r="E1328" s="3"/>
      <c r="F1328" s="3"/>
      <c r="G1328" s="3"/>
      <c r="H1328" s="3"/>
      <c r="I1328" s="3"/>
      <c r="J1328" s="3"/>
      <c r="K1328" s="3"/>
      <c r="L1328" s="3"/>
      <c r="M1328" s="3"/>
      <c r="N1328" s="3"/>
    </row>
    <row r="1329" spans="3:14" x14ac:dyDescent="0.2">
      <c r="C1329" s="2"/>
      <c r="D1329" s="3"/>
      <c r="E1329" s="3"/>
      <c r="F1329" s="3"/>
      <c r="G1329" s="3"/>
      <c r="H1329" s="3"/>
      <c r="I1329" s="3"/>
      <c r="J1329" s="3"/>
      <c r="K1329" s="3"/>
      <c r="L1329" s="3"/>
      <c r="M1329" s="3"/>
      <c r="N1329" s="3"/>
    </row>
    <row r="1330" spans="3:14" x14ac:dyDescent="0.2">
      <c r="C1330" s="2"/>
      <c r="D1330" s="3"/>
      <c r="E1330" s="3"/>
      <c r="F1330" s="3"/>
      <c r="G1330" s="3"/>
      <c r="H1330" s="3"/>
      <c r="I1330" s="3"/>
      <c r="J1330" s="3"/>
      <c r="K1330" s="3"/>
      <c r="L1330" s="3"/>
      <c r="M1330" s="3"/>
      <c r="N1330" s="3"/>
    </row>
    <row r="1331" spans="3:14" x14ac:dyDescent="0.2">
      <c r="C1331" s="2"/>
      <c r="D1331" s="3"/>
      <c r="E1331" s="3"/>
      <c r="F1331" s="3"/>
      <c r="G1331" s="3"/>
      <c r="H1331" s="3"/>
      <c r="I1331" s="3"/>
      <c r="J1331" s="3"/>
      <c r="K1331" s="3"/>
      <c r="L1331" s="3"/>
      <c r="M1331" s="3"/>
      <c r="N1331" s="3"/>
    </row>
    <row r="1332" spans="3:14" x14ac:dyDescent="0.2">
      <c r="C1332" s="2"/>
      <c r="D1332" s="3"/>
      <c r="E1332" s="3"/>
      <c r="F1332" s="3"/>
      <c r="G1332" s="3"/>
      <c r="H1332" s="3"/>
      <c r="I1332" s="3"/>
      <c r="J1332" s="3"/>
      <c r="K1332" s="3"/>
      <c r="L1332" s="3"/>
      <c r="M1332" s="3"/>
      <c r="N1332" s="3"/>
    </row>
    <row r="1333" spans="3:14" x14ac:dyDescent="0.2">
      <c r="C1333" s="2"/>
      <c r="D1333" s="3"/>
      <c r="E1333" s="3"/>
      <c r="F1333" s="3"/>
      <c r="G1333" s="3"/>
      <c r="H1333" s="3"/>
      <c r="I1333" s="3"/>
      <c r="J1333" s="3"/>
      <c r="K1333" s="3"/>
      <c r="L1333" s="3"/>
      <c r="M1333" s="3"/>
      <c r="N1333" s="3"/>
    </row>
    <row r="1334" spans="3:14" x14ac:dyDescent="0.2">
      <c r="C1334" s="2"/>
      <c r="D1334" s="3"/>
      <c r="E1334" s="3"/>
      <c r="F1334" s="3"/>
      <c r="G1334" s="3"/>
      <c r="H1334" s="3"/>
      <c r="I1334" s="3"/>
      <c r="J1334" s="3"/>
      <c r="K1334" s="3"/>
      <c r="L1334" s="3"/>
      <c r="M1334" s="3"/>
      <c r="N1334" s="3"/>
    </row>
    <row r="1335" spans="3:14" x14ac:dyDescent="0.2">
      <c r="C1335" s="2"/>
      <c r="D1335" s="3"/>
      <c r="E1335" s="3"/>
      <c r="F1335" s="3"/>
      <c r="G1335" s="3"/>
      <c r="H1335" s="3"/>
      <c r="I1335" s="3"/>
      <c r="J1335" s="3"/>
      <c r="K1335" s="3"/>
      <c r="L1335" s="3"/>
      <c r="M1335" s="3"/>
      <c r="N1335" s="3"/>
    </row>
    <row r="1336" spans="3:14" x14ac:dyDescent="0.2">
      <c r="C1336" s="2"/>
      <c r="D1336" s="3"/>
      <c r="E1336" s="3"/>
      <c r="F1336" s="3"/>
      <c r="G1336" s="3"/>
      <c r="H1336" s="3"/>
      <c r="I1336" s="3"/>
      <c r="J1336" s="3"/>
      <c r="K1336" s="3"/>
      <c r="L1336" s="3"/>
      <c r="M1336" s="3"/>
      <c r="N1336" s="3"/>
    </row>
    <row r="1337" spans="3:14" x14ac:dyDescent="0.2">
      <c r="C1337" s="2"/>
      <c r="D1337" s="3"/>
      <c r="E1337" s="3"/>
      <c r="F1337" s="3"/>
      <c r="G1337" s="3"/>
      <c r="H1337" s="3"/>
      <c r="I1337" s="3"/>
      <c r="J1337" s="3"/>
      <c r="K1337" s="3"/>
      <c r="L1337" s="3"/>
      <c r="M1337" s="3"/>
      <c r="N1337" s="3"/>
    </row>
    <row r="1338" spans="3:14" x14ac:dyDescent="0.2">
      <c r="C1338" s="2"/>
      <c r="D1338" s="3"/>
      <c r="E1338" s="3"/>
      <c r="F1338" s="3"/>
      <c r="G1338" s="3"/>
      <c r="H1338" s="3"/>
      <c r="I1338" s="3"/>
      <c r="J1338" s="3"/>
      <c r="K1338" s="3"/>
      <c r="L1338" s="3"/>
      <c r="M1338" s="3"/>
      <c r="N1338" s="3"/>
    </row>
    <row r="1339" spans="3:14" x14ac:dyDescent="0.2">
      <c r="C1339" s="2"/>
      <c r="D1339" s="3"/>
      <c r="E1339" s="3"/>
      <c r="F1339" s="3"/>
      <c r="G1339" s="3"/>
      <c r="H1339" s="3"/>
      <c r="I1339" s="3"/>
      <c r="J1339" s="3"/>
      <c r="K1339" s="3"/>
      <c r="L1339" s="3"/>
      <c r="M1339" s="3"/>
      <c r="N1339" s="3"/>
    </row>
    <row r="1340" spans="3:14" x14ac:dyDescent="0.2">
      <c r="C1340" s="2"/>
      <c r="D1340" s="3"/>
      <c r="E1340" s="3"/>
      <c r="F1340" s="3"/>
      <c r="G1340" s="3"/>
      <c r="H1340" s="3"/>
      <c r="I1340" s="3"/>
      <c r="J1340" s="3"/>
      <c r="K1340" s="3"/>
      <c r="L1340" s="3"/>
      <c r="M1340" s="3"/>
      <c r="N1340" s="3"/>
    </row>
    <row r="1341" spans="3:14" x14ac:dyDescent="0.2">
      <c r="C1341" s="2"/>
      <c r="D1341" s="3"/>
      <c r="E1341" s="3"/>
      <c r="F1341" s="3"/>
      <c r="G1341" s="3"/>
      <c r="H1341" s="3"/>
      <c r="I1341" s="3"/>
      <c r="J1341" s="3"/>
      <c r="K1341" s="3"/>
      <c r="L1341" s="3"/>
      <c r="M1341" s="3"/>
      <c r="N1341" s="3"/>
    </row>
    <row r="1342" spans="3:14" x14ac:dyDescent="0.2">
      <c r="C1342" s="2"/>
      <c r="D1342" s="3"/>
      <c r="E1342" s="3"/>
      <c r="F1342" s="3"/>
      <c r="G1342" s="3"/>
      <c r="H1342" s="3"/>
      <c r="I1342" s="3"/>
      <c r="J1342" s="3"/>
      <c r="K1342" s="3"/>
      <c r="L1342" s="3"/>
      <c r="M1342" s="3"/>
      <c r="N1342" s="3"/>
    </row>
    <row r="1343" spans="3:14" x14ac:dyDescent="0.2">
      <c r="C1343" s="2"/>
      <c r="D1343" s="3"/>
      <c r="E1343" s="3"/>
      <c r="F1343" s="3"/>
      <c r="G1343" s="3"/>
      <c r="H1343" s="3"/>
      <c r="I1343" s="3"/>
      <c r="J1343" s="3"/>
      <c r="K1343" s="3"/>
      <c r="L1343" s="3"/>
      <c r="M1343" s="3"/>
      <c r="N1343" s="3"/>
    </row>
    <row r="1344" spans="3:14" x14ac:dyDescent="0.2">
      <c r="C1344" s="2"/>
      <c r="D1344" s="3"/>
      <c r="E1344" s="3"/>
      <c r="F1344" s="3"/>
      <c r="G1344" s="3"/>
      <c r="H1344" s="3"/>
      <c r="I1344" s="3"/>
      <c r="J1344" s="3"/>
      <c r="K1344" s="3"/>
      <c r="L1344" s="3"/>
      <c r="M1344" s="3"/>
      <c r="N1344" s="3"/>
    </row>
    <row r="1345" spans="3:14" x14ac:dyDescent="0.2">
      <c r="C1345" s="2"/>
      <c r="D1345" s="3"/>
      <c r="E1345" s="3"/>
      <c r="F1345" s="3"/>
      <c r="G1345" s="3"/>
      <c r="H1345" s="3"/>
      <c r="I1345" s="3"/>
      <c r="J1345" s="3"/>
      <c r="K1345" s="3"/>
      <c r="L1345" s="3"/>
      <c r="M1345" s="3"/>
      <c r="N1345" s="3"/>
    </row>
    <row r="1346" spans="3:14" x14ac:dyDescent="0.2">
      <c r="C1346" s="2"/>
      <c r="D1346" s="3"/>
      <c r="E1346" s="3"/>
      <c r="F1346" s="3"/>
      <c r="G1346" s="3"/>
      <c r="H1346" s="3"/>
      <c r="I1346" s="3"/>
      <c r="J1346" s="3"/>
      <c r="K1346" s="3"/>
      <c r="L1346" s="3"/>
      <c r="M1346" s="3"/>
      <c r="N1346" s="3"/>
    </row>
    <row r="1347" spans="3:14" x14ac:dyDescent="0.2">
      <c r="C1347" s="2"/>
      <c r="D1347" s="3"/>
      <c r="E1347" s="3"/>
      <c r="F1347" s="3"/>
      <c r="G1347" s="3"/>
      <c r="H1347" s="3"/>
      <c r="I1347" s="3"/>
      <c r="J1347" s="3"/>
      <c r="K1347" s="3"/>
      <c r="L1347" s="3"/>
      <c r="M1347" s="3"/>
      <c r="N1347" s="3"/>
    </row>
    <row r="1348" spans="3:14" x14ac:dyDescent="0.2">
      <c r="C1348" s="2"/>
      <c r="D1348" s="3"/>
      <c r="E1348" s="3"/>
      <c r="F1348" s="3"/>
      <c r="G1348" s="3"/>
      <c r="H1348" s="3"/>
      <c r="I1348" s="3"/>
      <c r="J1348" s="3"/>
      <c r="K1348" s="3"/>
      <c r="L1348" s="3"/>
      <c r="M1348" s="3"/>
      <c r="N1348" s="3"/>
    </row>
    <row r="1349" spans="3:14" x14ac:dyDescent="0.2">
      <c r="C1349" s="2"/>
      <c r="D1349" s="3"/>
      <c r="E1349" s="3"/>
      <c r="F1349" s="3"/>
      <c r="G1349" s="3"/>
      <c r="H1349" s="3"/>
      <c r="I1349" s="3"/>
      <c r="J1349" s="3"/>
      <c r="K1349" s="3"/>
      <c r="L1349" s="3"/>
      <c r="M1349" s="3"/>
      <c r="N1349" s="3"/>
    </row>
    <row r="1350" spans="3:14" x14ac:dyDescent="0.2">
      <c r="C1350" s="2"/>
      <c r="D1350" s="3"/>
      <c r="E1350" s="3"/>
      <c r="F1350" s="3"/>
      <c r="G1350" s="3"/>
      <c r="H1350" s="3"/>
      <c r="I1350" s="3"/>
      <c r="J1350" s="3"/>
      <c r="K1350" s="3"/>
      <c r="L1350" s="3"/>
      <c r="M1350" s="3"/>
      <c r="N1350" s="3"/>
    </row>
    <row r="1351" spans="3:14" x14ac:dyDescent="0.2">
      <c r="C1351" s="2"/>
      <c r="D1351" s="3"/>
      <c r="E1351" s="3"/>
      <c r="F1351" s="3"/>
      <c r="G1351" s="3"/>
      <c r="H1351" s="3"/>
      <c r="I1351" s="3"/>
      <c r="J1351" s="3"/>
      <c r="K1351" s="3"/>
      <c r="L1351" s="3"/>
      <c r="M1351" s="3"/>
      <c r="N1351" s="3"/>
    </row>
    <row r="1352" spans="3:14" x14ac:dyDescent="0.2">
      <c r="C1352" s="2"/>
      <c r="D1352" s="3"/>
      <c r="E1352" s="3"/>
      <c r="F1352" s="3"/>
      <c r="G1352" s="3"/>
      <c r="H1352" s="3"/>
      <c r="I1352" s="3"/>
      <c r="J1352" s="3"/>
      <c r="K1352" s="3"/>
      <c r="L1352" s="3"/>
      <c r="M1352" s="3"/>
      <c r="N1352" s="3"/>
    </row>
    <row r="1353" spans="3:14" x14ac:dyDescent="0.2">
      <c r="C1353" s="2"/>
      <c r="D1353" s="3"/>
      <c r="E1353" s="3"/>
      <c r="F1353" s="3"/>
      <c r="G1353" s="3"/>
      <c r="H1353" s="3"/>
      <c r="I1353" s="3"/>
      <c r="J1353" s="3"/>
      <c r="K1353" s="3"/>
      <c r="L1353" s="3"/>
      <c r="M1353" s="3"/>
      <c r="N1353" s="3"/>
    </row>
    <row r="1354" spans="3:14" x14ac:dyDescent="0.2">
      <c r="C1354" s="2"/>
      <c r="D1354" s="3"/>
      <c r="E1354" s="3"/>
      <c r="F1354" s="3"/>
      <c r="G1354" s="3"/>
      <c r="H1354" s="3"/>
      <c r="I1354" s="3"/>
      <c r="J1354" s="3"/>
      <c r="K1354" s="3"/>
      <c r="L1354" s="3"/>
      <c r="M1354" s="3"/>
      <c r="N1354" s="3"/>
    </row>
    <row r="1355" spans="3:14" x14ac:dyDescent="0.2">
      <c r="C1355" s="2"/>
      <c r="D1355" s="3"/>
      <c r="E1355" s="3"/>
      <c r="F1355" s="3"/>
      <c r="G1355" s="3"/>
      <c r="H1355" s="3"/>
      <c r="I1355" s="3"/>
      <c r="J1355" s="3"/>
      <c r="K1355" s="3"/>
      <c r="L1355" s="3"/>
      <c r="M1355" s="3"/>
      <c r="N1355" s="3"/>
    </row>
    <row r="1356" spans="3:14" x14ac:dyDescent="0.2">
      <c r="C1356" s="2"/>
      <c r="D1356" s="3"/>
      <c r="E1356" s="3"/>
      <c r="F1356" s="3"/>
      <c r="G1356" s="3"/>
      <c r="H1356" s="3"/>
      <c r="I1356" s="3"/>
      <c r="J1356" s="3"/>
      <c r="K1356" s="3"/>
      <c r="L1356" s="3"/>
      <c r="M1356" s="3"/>
      <c r="N1356" s="3"/>
    </row>
    <row r="1357" spans="3:14" x14ac:dyDescent="0.2">
      <c r="C1357" s="2"/>
      <c r="D1357" s="3"/>
      <c r="E1357" s="3"/>
      <c r="F1357" s="3"/>
      <c r="G1357" s="3"/>
      <c r="H1357" s="3"/>
      <c r="I1357" s="3"/>
      <c r="J1357" s="3"/>
      <c r="K1357" s="3"/>
      <c r="L1357" s="3"/>
      <c r="M1357" s="3"/>
      <c r="N1357" s="3"/>
    </row>
    <row r="1358" spans="3:14" x14ac:dyDescent="0.2">
      <c r="C1358" s="2"/>
      <c r="D1358" s="3"/>
      <c r="E1358" s="3"/>
      <c r="F1358" s="3"/>
      <c r="G1358" s="3"/>
      <c r="H1358" s="3"/>
      <c r="I1358" s="3"/>
      <c r="J1358" s="3"/>
      <c r="K1358" s="3"/>
      <c r="L1358" s="3"/>
      <c r="M1358" s="3"/>
      <c r="N1358" s="3"/>
    </row>
    <row r="1359" spans="3:14" x14ac:dyDescent="0.2">
      <c r="C1359" s="2"/>
      <c r="D1359" s="3"/>
      <c r="E1359" s="3"/>
      <c r="F1359" s="3"/>
      <c r="G1359" s="3"/>
      <c r="H1359" s="3"/>
      <c r="I1359" s="3"/>
      <c r="J1359" s="3"/>
      <c r="K1359" s="3"/>
      <c r="L1359" s="3"/>
      <c r="M1359" s="3"/>
      <c r="N1359" s="3"/>
    </row>
    <row r="1360" spans="3:14" x14ac:dyDescent="0.2">
      <c r="C1360" s="2"/>
      <c r="D1360" s="3"/>
      <c r="E1360" s="3"/>
      <c r="F1360" s="3"/>
      <c r="G1360" s="3"/>
      <c r="H1360" s="3"/>
      <c r="I1360" s="3"/>
      <c r="J1360" s="3"/>
      <c r="K1360" s="3"/>
      <c r="L1360" s="3"/>
      <c r="M1360" s="3"/>
      <c r="N1360" s="3"/>
    </row>
    <row r="1361" spans="3:14" x14ac:dyDescent="0.2">
      <c r="C1361" s="2"/>
      <c r="D1361" s="3"/>
      <c r="E1361" s="3"/>
      <c r="F1361" s="3"/>
      <c r="G1361" s="3"/>
      <c r="H1361" s="3"/>
      <c r="I1361" s="3"/>
      <c r="J1361" s="3"/>
      <c r="K1361" s="3"/>
      <c r="L1361" s="3"/>
      <c r="M1361" s="3"/>
      <c r="N1361" s="3"/>
    </row>
    <row r="1362" spans="3:14" x14ac:dyDescent="0.2">
      <c r="C1362" s="2"/>
      <c r="D1362" s="3"/>
      <c r="E1362" s="3"/>
      <c r="F1362" s="3"/>
      <c r="G1362" s="3"/>
      <c r="H1362" s="3"/>
      <c r="I1362" s="3"/>
      <c r="J1362" s="3"/>
      <c r="K1362" s="3"/>
      <c r="L1362" s="3"/>
      <c r="M1362" s="3"/>
      <c r="N1362" s="3"/>
    </row>
    <row r="1363" spans="3:14" x14ac:dyDescent="0.2">
      <c r="C1363" s="2"/>
      <c r="D1363" s="3"/>
      <c r="E1363" s="3"/>
      <c r="F1363" s="3"/>
      <c r="G1363" s="3"/>
      <c r="H1363" s="3"/>
      <c r="I1363" s="3"/>
      <c r="J1363" s="3"/>
      <c r="K1363" s="3"/>
      <c r="L1363" s="3"/>
      <c r="M1363" s="3"/>
      <c r="N1363" s="3"/>
    </row>
    <row r="1364" spans="3:14" x14ac:dyDescent="0.2">
      <c r="C1364" s="2"/>
      <c r="D1364" s="3"/>
      <c r="E1364" s="3"/>
      <c r="F1364" s="3"/>
      <c r="G1364" s="3"/>
      <c r="H1364" s="3"/>
      <c r="I1364" s="3"/>
      <c r="J1364" s="3"/>
      <c r="K1364" s="3"/>
      <c r="L1364" s="3"/>
      <c r="M1364" s="3"/>
      <c r="N1364" s="3"/>
    </row>
    <row r="1365" spans="3:14" x14ac:dyDescent="0.2">
      <c r="C1365" s="2"/>
      <c r="D1365" s="3"/>
      <c r="E1365" s="3"/>
      <c r="F1365" s="3"/>
      <c r="G1365" s="3"/>
      <c r="H1365" s="3"/>
      <c r="I1365" s="3"/>
      <c r="J1365" s="3"/>
      <c r="K1365" s="3"/>
      <c r="L1365" s="3"/>
      <c r="M1365" s="3"/>
      <c r="N1365" s="3"/>
    </row>
    <row r="1366" spans="3:14" x14ac:dyDescent="0.2">
      <c r="C1366" s="2"/>
      <c r="D1366" s="3"/>
      <c r="E1366" s="3"/>
      <c r="F1366" s="3"/>
      <c r="G1366" s="3"/>
      <c r="H1366" s="3"/>
      <c r="I1366" s="3"/>
      <c r="J1366" s="3"/>
      <c r="K1366" s="3"/>
      <c r="L1366" s="3"/>
      <c r="M1366" s="3"/>
      <c r="N1366" s="3"/>
    </row>
    <row r="1367" spans="3:14" x14ac:dyDescent="0.2">
      <c r="C1367" s="2"/>
      <c r="D1367" s="3"/>
      <c r="E1367" s="3"/>
      <c r="F1367" s="3"/>
      <c r="G1367" s="3"/>
      <c r="H1367" s="3"/>
      <c r="I1367" s="3"/>
      <c r="J1367" s="3"/>
      <c r="K1367" s="3"/>
      <c r="L1367" s="3"/>
      <c r="M1367" s="3"/>
      <c r="N1367" s="3"/>
    </row>
    <row r="1368" spans="3:14" x14ac:dyDescent="0.2">
      <c r="C1368" s="2"/>
      <c r="D1368" s="3"/>
      <c r="E1368" s="3"/>
      <c r="F1368" s="3"/>
      <c r="G1368" s="3"/>
      <c r="H1368" s="3"/>
      <c r="I1368" s="3"/>
      <c r="J1368" s="3"/>
      <c r="K1368" s="3"/>
      <c r="L1368" s="3"/>
      <c r="M1368" s="3"/>
      <c r="N1368" s="3"/>
    </row>
    <row r="1369" spans="3:14" x14ac:dyDescent="0.2">
      <c r="C1369" s="2"/>
      <c r="D1369" s="3"/>
      <c r="E1369" s="3"/>
      <c r="F1369" s="3"/>
      <c r="G1369" s="3"/>
      <c r="H1369" s="3"/>
      <c r="I1369" s="3"/>
      <c r="J1369" s="3"/>
      <c r="K1369" s="3"/>
      <c r="L1369" s="3"/>
      <c r="M1369" s="3"/>
      <c r="N1369" s="3"/>
    </row>
    <row r="1370" spans="3:14" x14ac:dyDescent="0.2">
      <c r="C1370" s="2"/>
      <c r="D1370" s="3"/>
      <c r="E1370" s="3"/>
      <c r="F1370" s="3"/>
      <c r="G1370" s="3"/>
      <c r="H1370" s="3"/>
      <c r="I1370" s="3"/>
      <c r="J1370" s="3"/>
      <c r="K1370" s="3"/>
      <c r="L1370" s="3"/>
      <c r="M1370" s="3"/>
      <c r="N1370" s="3"/>
    </row>
    <row r="1371" spans="3:14" x14ac:dyDescent="0.2">
      <c r="C1371" s="2"/>
      <c r="D1371" s="3"/>
      <c r="E1371" s="3"/>
      <c r="F1371" s="3"/>
      <c r="G1371" s="3"/>
      <c r="H1371" s="3"/>
      <c r="I1371" s="3"/>
      <c r="J1371" s="3"/>
      <c r="K1371" s="3"/>
      <c r="L1371" s="3"/>
      <c r="M1371" s="3"/>
      <c r="N1371" s="3"/>
    </row>
    <row r="1372" spans="3:14" x14ac:dyDescent="0.2">
      <c r="C1372" s="2"/>
      <c r="D1372" s="3"/>
      <c r="E1372" s="3"/>
      <c r="F1372" s="3"/>
      <c r="G1372" s="3"/>
      <c r="H1372" s="3"/>
      <c r="I1372" s="3"/>
      <c r="J1372" s="3"/>
      <c r="K1372" s="3"/>
      <c r="L1372" s="3"/>
      <c r="M1372" s="3"/>
      <c r="N1372" s="3"/>
    </row>
    <row r="1373" spans="3:14" x14ac:dyDescent="0.2">
      <c r="C1373" s="2"/>
      <c r="D1373" s="3"/>
      <c r="E1373" s="3"/>
      <c r="F1373" s="3"/>
      <c r="G1373" s="3"/>
      <c r="H1373" s="3"/>
      <c r="I1373" s="3"/>
      <c r="J1373" s="3"/>
      <c r="K1373" s="3"/>
      <c r="L1373" s="3"/>
      <c r="M1373" s="3"/>
      <c r="N1373" s="3"/>
    </row>
    <row r="1374" spans="3:14" x14ac:dyDescent="0.2">
      <c r="C1374" s="2"/>
      <c r="D1374" s="3"/>
      <c r="E1374" s="3"/>
      <c r="F1374" s="3"/>
      <c r="G1374" s="3"/>
      <c r="H1374" s="3"/>
      <c r="I1374" s="3"/>
      <c r="J1374" s="3"/>
      <c r="K1374" s="3"/>
      <c r="L1374" s="3"/>
      <c r="M1374" s="3"/>
      <c r="N1374" s="3"/>
    </row>
    <row r="1375" spans="3:14" x14ac:dyDescent="0.2">
      <c r="C1375" s="2"/>
      <c r="D1375" s="3"/>
      <c r="E1375" s="3"/>
      <c r="F1375" s="3"/>
      <c r="G1375" s="3"/>
      <c r="H1375" s="3"/>
      <c r="I1375" s="3"/>
      <c r="J1375" s="3"/>
      <c r="K1375" s="3"/>
      <c r="L1375" s="3"/>
      <c r="M1375" s="3"/>
      <c r="N1375" s="3"/>
    </row>
    <row r="1376" spans="3:14" x14ac:dyDescent="0.2">
      <c r="C1376" s="2"/>
      <c r="D1376" s="3"/>
      <c r="E1376" s="3"/>
      <c r="F1376" s="3"/>
      <c r="G1376" s="3"/>
      <c r="H1376" s="3"/>
      <c r="I1376" s="3"/>
      <c r="J1376" s="3"/>
      <c r="K1376" s="3"/>
      <c r="L1376" s="3"/>
      <c r="M1376" s="3"/>
      <c r="N1376" s="3"/>
    </row>
    <row r="1377" spans="3:14" x14ac:dyDescent="0.2">
      <c r="C1377" s="2"/>
      <c r="D1377" s="3"/>
      <c r="E1377" s="3"/>
      <c r="F1377" s="3"/>
      <c r="G1377" s="3"/>
      <c r="H1377" s="3"/>
      <c r="I1377" s="3"/>
      <c r="J1377" s="3"/>
      <c r="K1377" s="3"/>
      <c r="L1377" s="3"/>
      <c r="M1377" s="3"/>
      <c r="N1377" s="3"/>
    </row>
    <row r="1378" spans="3:14" x14ac:dyDescent="0.2">
      <c r="C1378" s="2"/>
      <c r="D1378" s="3"/>
      <c r="E1378" s="3"/>
      <c r="F1378" s="3"/>
      <c r="G1378" s="3"/>
      <c r="H1378" s="3"/>
      <c r="I1378" s="3"/>
      <c r="J1378" s="3"/>
      <c r="K1378" s="3"/>
      <c r="L1378" s="3"/>
      <c r="M1378" s="3"/>
      <c r="N1378" s="3"/>
    </row>
    <row r="1379" spans="3:14" x14ac:dyDescent="0.2">
      <c r="C1379" s="2"/>
      <c r="D1379" s="3"/>
      <c r="E1379" s="3"/>
      <c r="F1379" s="3"/>
      <c r="G1379" s="3"/>
      <c r="H1379" s="3"/>
      <c r="I1379" s="3"/>
      <c r="J1379" s="3"/>
      <c r="K1379" s="3"/>
      <c r="L1379" s="3"/>
      <c r="M1379" s="3"/>
      <c r="N1379" s="3"/>
    </row>
    <row r="1380" spans="3:14" x14ac:dyDescent="0.2">
      <c r="C1380" s="2"/>
      <c r="D1380" s="3"/>
      <c r="E1380" s="3"/>
      <c r="F1380" s="3"/>
      <c r="G1380" s="3"/>
      <c r="H1380" s="3"/>
      <c r="I1380" s="3"/>
      <c r="J1380" s="3"/>
      <c r="K1380" s="3"/>
      <c r="L1380" s="3"/>
      <c r="M1380" s="3"/>
      <c r="N1380" s="3"/>
    </row>
    <row r="1381" spans="3:14" x14ac:dyDescent="0.2">
      <c r="C1381" s="2"/>
      <c r="D1381" s="3"/>
      <c r="E1381" s="3"/>
      <c r="F1381" s="3"/>
      <c r="G1381" s="3"/>
      <c r="H1381" s="3"/>
      <c r="I1381" s="3"/>
      <c r="J1381" s="3"/>
      <c r="K1381" s="3"/>
      <c r="L1381" s="3"/>
      <c r="M1381" s="3"/>
      <c r="N1381" s="3"/>
    </row>
    <row r="1382" spans="3:14" x14ac:dyDescent="0.2">
      <c r="C1382" s="2"/>
      <c r="D1382" s="3"/>
      <c r="E1382" s="3"/>
      <c r="F1382" s="3"/>
      <c r="G1382" s="3"/>
      <c r="H1382" s="3"/>
      <c r="I1382" s="3"/>
      <c r="J1382" s="3"/>
      <c r="K1382" s="3"/>
      <c r="L1382" s="3"/>
      <c r="M1382" s="3"/>
      <c r="N1382" s="3"/>
    </row>
    <row r="1383" spans="3:14" x14ac:dyDescent="0.2">
      <c r="C1383" s="2"/>
      <c r="D1383" s="3"/>
      <c r="E1383" s="3"/>
      <c r="F1383" s="3"/>
      <c r="G1383" s="3"/>
      <c r="H1383" s="3"/>
      <c r="I1383" s="3"/>
      <c r="J1383" s="3"/>
      <c r="K1383" s="3"/>
      <c r="L1383" s="3"/>
      <c r="M1383" s="3"/>
      <c r="N1383" s="3"/>
    </row>
    <row r="1384" spans="3:14" x14ac:dyDescent="0.2">
      <c r="C1384" s="2"/>
      <c r="D1384" s="3"/>
      <c r="E1384" s="3"/>
      <c r="F1384" s="3"/>
      <c r="G1384" s="3"/>
      <c r="H1384" s="3"/>
      <c r="I1384" s="3"/>
      <c r="J1384" s="3"/>
      <c r="K1384" s="3"/>
      <c r="L1384" s="3"/>
      <c r="M1384" s="3"/>
      <c r="N1384" s="3"/>
    </row>
    <row r="1385" spans="3:14" x14ac:dyDescent="0.2">
      <c r="C1385" s="2"/>
      <c r="D1385" s="3"/>
      <c r="E1385" s="3"/>
      <c r="F1385" s="3"/>
      <c r="G1385" s="3"/>
      <c r="H1385" s="3"/>
      <c r="I1385" s="3"/>
      <c r="J1385" s="3"/>
      <c r="K1385" s="3"/>
      <c r="L1385" s="3"/>
      <c r="M1385" s="3"/>
      <c r="N1385" s="3"/>
    </row>
    <row r="1386" spans="3:14" x14ac:dyDescent="0.2">
      <c r="C1386" s="2"/>
      <c r="D1386" s="3"/>
      <c r="E1386" s="3"/>
      <c r="F1386" s="3"/>
      <c r="G1386" s="3"/>
      <c r="H1386" s="3"/>
      <c r="I1386" s="3"/>
      <c r="J1386" s="3"/>
      <c r="K1386" s="3"/>
      <c r="L1386" s="3"/>
      <c r="M1386" s="3"/>
      <c r="N1386" s="3"/>
    </row>
    <row r="1387" spans="3:14" x14ac:dyDescent="0.2">
      <c r="C1387" s="2"/>
      <c r="D1387" s="3"/>
      <c r="E1387" s="3"/>
      <c r="F1387" s="3"/>
      <c r="G1387" s="3"/>
      <c r="H1387" s="3"/>
      <c r="I1387" s="3"/>
      <c r="J1387" s="3"/>
      <c r="K1387" s="3"/>
      <c r="L1387" s="3"/>
      <c r="M1387" s="3"/>
      <c r="N1387" s="3"/>
    </row>
    <row r="1388" spans="3:14" x14ac:dyDescent="0.2">
      <c r="C1388" s="2"/>
      <c r="D1388" s="3"/>
      <c r="E1388" s="3"/>
      <c r="F1388" s="3"/>
      <c r="G1388" s="3"/>
      <c r="H1388" s="3"/>
      <c r="I1388" s="3"/>
      <c r="J1388" s="3"/>
      <c r="K1388" s="3"/>
      <c r="L1388" s="3"/>
      <c r="M1388" s="3"/>
      <c r="N1388" s="3"/>
    </row>
    <row r="1389" spans="3:14" x14ac:dyDescent="0.2">
      <c r="C1389" s="2"/>
      <c r="D1389" s="3"/>
      <c r="E1389" s="3"/>
      <c r="F1389" s="3"/>
      <c r="G1389" s="3"/>
      <c r="H1389" s="3"/>
      <c r="I1389" s="3"/>
      <c r="J1389" s="3"/>
      <c r="K1389" s="3"/>
      <c r="L1389" s="3"/>
      <c r="M1389" s="3"/>
      <c r="N1389" s="3"/>
    </row>
    <row r="1390" spans="3:14" x14ac:dyDescent="0.2">
      <c r="C1390" s="2"/>
      <c r="D1390" s="3"/>
      <c r="E1390" s="3"/>
      <c r="F1390" s="3"/>
      <c r="G1390" s="3"/>
      <c r="H1390" s="3"/>
      <c r="I1390" s="3"/>
      <c r="J1390" s="3"/>
      <c r="K1390" s="3"/>
      <c r="L1390" s="3"/>
      <c r="M1390" s="3"/>
      <c r="N1390" s="3"/>
    </row>
    <row r="1391" spans="3:14" x14ac:dyDescent="0.2">
      <c r="C1391" s="2"/>
      <c r="D1391" s="3"/>
      <c r="E1391" s="3"/>
      <c r="F1391" s="3"/>
      <c r="G1391" s="3"/>
      <c r="H1391" s="3"/>
      <c r="I1391" s="3"/>
      <c r="J1391" s="3"/>
      <c r="K1391" s="3"/>
      <c r="L1391" s="3"/>
      <c r="M1391" s="3"/>
      <c r="N1391" s="3"/>
    </row>
    <row r="1392" spans="3:14" x14ac:dyDescent="0.2">
      <c r="C1392" s="2"/>
      <c r="D1392" s="3"/>
      <c r="E1392" s="3"/>
      <c r="F1392" s="3"/>
      <c r="G1392" s="3"/>
      <c r="H1392" s="3"/>
      <c r="I1392" s="3"/>
      <c r="J1392" s="3"/>
      <c r="K1392" s="3"/>
      <c r="L1392" s="3"/>
      <c r="M1392" s="3"/>
      <c r="N1392" s="3"/>
    </row>
    <row r="1393" spans="3:14" x14ac:dyDescent="0.2">
      <c r="C1393" s="2"/>
      <c r="D1393" s="3"/>
      <c r="E1393" s="3"/>
      <c r="F1393" s="3"/>
      <c r="G1393" s="3"/>
      <c r="H1393" s="3"/>
      <c r="I1393" s="3"/>
      <c r="J1393" s="3"/>
      <c r="K1393" s="3"/>
      <c r="L1393" s="3"/>
      <c r="M1393" s="3"/>
      <c r="N1393" s="3"/>
    </row>
    <row r="1394" spans="3:14" x14ac:dyDescent="0.2">
      <c r="C1394" s="2"/>
      <c r="D1394" s="3"/>
      <c r="E1394" s="3"/>
      <c r="F1394" s="3"/>
      <c r="G1394" s="3"/>
      <c r="H1394" s="3"/>
      <c r="I1394" s="3"/>
      <c r="J1394" s="3"/>
      <c r="K1394" s="3"/>
      <c r="L1394" s="3"/>
      <c r="M1394" s="3"/>
      <c r="N1394" s="3"/>
    </row>
    <row r="1395" spans="3:14" x14ac:dyDescent="0.2">
      <c r="C1395" s="2"/>
      <c r="D1395" s="3"/>
      <c r="E1395" s="3"/>
      <c r="F1395" s="3"/>
      <c r="G1395" s="3"/>
      <c r="H1395" s="3"/>
      <c r="I1395" s="3"/>
      <c r="J1395" s="3"/>
      <c r="K1395" s="3"/>
      <c r="L1395" s="3"/>
      <c r="M1395" s="3"/>
      <c r="N1395" s="3"/>
    </row>
    <row r="1396" spans="3:14" x14ac:dyDescent="0.2">
      <c r="C1396" s="2"/>
      <c r="D1396" s="3"/>
      <c r="E1396" s="3"/>
      <c r="F1396" s="3"/>
      <c r="G1396" s="3"/>
      <c r="H1396" s="3"/>
      <c r="I1396" s="3"/>
      <c r="J1396" s="3"/>
      <c r="K1396" s="3"/>
      <c r="L1396" s="3"/>
      <c r="M1396" s="3"/>
      <c r="N1396" s="3"/>
    </row>
    <row r="1397" spans="3:14" x14ac:dyDescent="0.2">
      <c r="C1397" s="2"/>
      <c r="D1397" s="3"/>
      <c r="E1397" s="3"/>
      <c r="F1397" s="3"/>
      <c r="G1397" s="3"/>
      <c r="H1397" s="3"/>
      <c r="I1397" s="3"/>
      <c r="J1397" s="3"/>
      <c r="K1397" s="3"/>
      <c r="L1397" s="3"/>
      <c r="M1397" s="3"/>
      <c r="N1397" s="3"/>
    </row>
    <row r="1398" spans="3:14" x14ac:dyDescent="0.2">
      <c r="C1398" s="2"/>
      <c r="D1398" s="3"/>
      <c r="E1398" s="3"/>
      <c r="F1398" s="3"/>
      <c r="G1398" s="3"/>
      <c r="H1398" s="3"/>
      <c r="I1398" s="3"/>
      <c r="J1398" s="3"/>
      <c r="K1398" s="3"/>
      <c r="L1398" s="3"/>
      <c r="M1398" s="3"/>
      <c r="N1398" s="3"/>
    </row>
    <row r="1399" spans="3:14" x14ac:dyDescent="0.2">
      <c r="C1399" s="2"/>
      <c r="D1399" s="3"/>
      <c r="E1399" s="3"/>
      <c r="F1399" s="3"/>
      <c r="G1399" s="3"/>
      <c r="H1399" s="3"/>
      <c r="I1399" s="3"/>
      <c r="J1399" s="3"/>
      <c r="K1399" s="3"/>
      <c r="L1399" s="3"/>
      <c r="M1399" s="3"/>
      <c r="N1399" s="3"/>
    </row>
    <row r="1400" spans="3:14" x14ac:dyDescent="0.2">
      <c r="C1400" s="2"/>
      <c r="D1400" s="3"/>
      <c r="E1400" s="3"/>
      <c r="F1400" s="3"/>
      <c r="G1400" s="3"/>
      <c r="H1400" s="3"/>
      <c r="I1400" s="3"/>
      <c r="J1400" s="3"/>
      <c r="K1400" s="3"/>
      <c r="L1400" s="3"/>
      <c r="M1400" s="3"/>
      <c r="N1400" s="3"/>
    </row>
    <row r="1401" spans="3:14" x14ac:dyDescent="0.2">
      <c r="C1401" s="2"/>
      <c r="D1401" s="3"/>
      <c r="E1401" s="3"/>
      <c r="F1401" s="3"/>
      <c r="G1401" s="3"/>
      <c r="H1401" s="3"/>
      <c r="I1401" s="3"/>
      <c r="J1401" s="3"/>
      <c r="K1401" s="3"/>
      <c r="L1401" s="3"/>
      <c r="M1401" s="3"/>
      <c r="N1401" s="3"/>
    </row>
    <row r="1402" spans="3:14" x14ac:dyDescent="0.2">
      <c r="C1402" s="2"/>
      <c r="D1402" s="3"/>
      <c r="E1402" s="3"/>
      <c r="F1402" s="3"/>
      <c r="G1402" s="3"/>
      <c r="H1402" s="3"/>
      <c r="I1402" s="3"/>
      <c r="J1402" s="3"/>
      <c r="K1402" s="3"/>
      <c r="L1402" s="3"/>
      <c r="M1402" s="3"/>
      <c r="N1402" s="3"/>
    </row>
    <row r="1403" spans="3:14" x14ac:dyDescent="0.2">
      <c r="C1403" s="2"/>
      <c r="D1403" s="3"/>
      <c r="E1403" s="3"/>
      <c r="F1403" s="3"/>
      <c r="G1403" s="3"/>
      <c r="H1403" s="3"/>
      <c r="I1403" s="3"/>
      <c r="J1403" s="3"/>
      <c r="K1403" s="3"/>
      <c r="L1403" s="3"/>
      <c r="M1403" s="3"/>
      <c r="N1403" s="3"/>
    </row>
    <row r="1404" spans="3:14" x14ac:dyDescent="0.2">
      <c r="C1404" s="2"/>
      <c r="D1404" s="3"/>
      <c r="E1404" s="3"/>
      <c r="F1404" s="3"/>
      <c r="G1404" s="3"/>
      <c r="H1404" s="3"/>
      <c r="I1404" s="3"/>
      <c r="J1404" s="3"/>
      <c r="K1404" s="3"/>
      <c r="L1404" s="3"/>
      <c r="M1404" s="3"/>
      <c r="N1404" s="3"/>
    </row>
    <row r="1405" spans="3:14" x14ac:dyDescent="0.2">
      <c r="C1405" s="2"/>
      <c r="D1405" s="3"/>
      <c r="E1405" s="3"/>
      <c r="F1405" s="3"/>
      <c r="G1405" s="3"/>
      <c r="H1405" s="3"/>
      <c r="I1405" s="3"/>
      <c r="J1405" s="3"/>
      <c r="K1405" s="3"/>
      <c r="L1405" s="3"/>
      <c r="M1405" s="3"/>
      <c r="N1405" s="3"/>
    </row>
    <row r="1406" spans="3:14" x14ac:dyDescent="0.2">
      <c r="C1406" s="2"/>
      <c r="D1406" s="3"/>
      <c r="E1406" s="3"/>
      <c r="F1406" s="3"/>
      <c r="G1406" s="3"/>
      <c r="H1406" s="3"/>
      <c r="I1406" s="3"/>
      <c r="J1406" s="3"/>
      <c r="K1406" s="3"/>
      <c r="L1406" s="3"/>
      <c r="M1406" s="3"/>
      <c r="N1406" s="3"/>
    </row>
    <row r="1407" spans="3:14" x14ac:dyDescent="0.2">
      <c r="C1407" s="2"/>
      <c r="D1407" s="3"/>
      <c r="E1407" s="3"/>
      <c r="F1407" s="3"/>
      <c r="G1407" s="3"/>
      <c r="H1407" s="3"/>
      <c r="I1407" s="3"/>
      <c r="J1407" s="3"/>
      <c r="K1407" s="3"/>
      <c r="L1407" s="3"/>
      <c r="M1407" s="3"/>
      <c r="N1407" s="3"/>
    </row>
    <row r="1408" spans="3:14" x14ac:dyDescent="0.2">
      <c r="C1408" s="2"/>
      <c r="D1408" s="3"/>
      <c r="E1408" s="3"/>
      <c r="F1408" s="3"/>
      <c r="G1408" s="3"/>
      <c r="H1408" s="3"/>
      <c r="I1408" s="3"/>
      <c r="J1408" s="3"/>
      <c r="K1408" s="3"/>
      <c r="L1408" s="3"/>
      <c r="M1408" s="3"/>
      <c r="N1408" s="3"/>
    </row>
    <row r="1409" spans="3:14" x14ac:dyDescent="0.2">
      <c r="C1409" s="2"/>
      <c r="D1409" s="3"/>
      <c r="E1409" s="3"/>
      <c r="F1409" s="3"/>
      <c r="G1409" s="3"/>
      <c r="H1409" s="3"/>
      <c r="I1409" s="3"/>
      <c r="J1409" s="3"/>
      <c r="K1409" s="3"/>
      <c r="L1409" s="3"/>
      <c r="M1409" s="3"/>
      <c r="N1409" s="3"/>
    </row>
    <row r="1410" spans="3:14" x14ac:dyDescent="0.2">
      <c r="C1410" s="2"/>
      <c r="D1410" s="3"/>
      <c r="E1410" s="3"/>
      <c r="F1410" s="3"/>
      <c r="G1410" s="3"/>
      <c r="H1410" s="3"/>
      <c r="I1410" s="3"/>
      <c r="J1410" s="3"/>
      <c r="K1410" s="3"/>
      <c r="L1410" s="3"/>
      <c r="M1410" s="3"/>
      <c r="N1410" s="3"/>
    </row>
    <row r="1411" spans="3:14" x14ac:dyDescent="0.2">
      <c r="C1411" s="2"/>
      <c r="D1411" s="3"/>
      <c r="E1411" s="3"/>
      <c r="F1411" s="3"/>
      <c r="G1411" s="3"/>
      <c r="H1411" s="3"/>
      <c r="I1411" s="3"/>
      <c r="J1411" s="3"/>
      <c r="K1411" s="3"/>
      <c r="L1411" s="3"/>
      <c r="M1411" s="3"/>
      <c r="N1411" s="3"/>
    </row>
    <row r="1412" spans="3:14" x14ac:dyDescent="0.2">
      <c r="C1412" s="2"/>
      <c r="D1412" s="3"/>
      <c r="E1412" s="3"/>
      <c r="F1412" s="3"/>
      <c r="G1412" s="3"/>
      <c r="H1412" s="3"/>
      <c r="I1412" s="3"/>
      <c r="J1412" s="3"/>
      <c r="K1412" s="3"/>
      <c r="L1412" s="3"/>
      <c r="M1412" s="3"/>
      <c r="N1412" s="3"/>
    </row>
    <row r="1413" spans="3:14" x14ac:dyDescent="0.2">
      <c r="C1413" s="2"/>
      <c r="D1413" s="3"/>
      <c r="E1413" s="3"/>
      <c r="F1413" s="3"/>
      <c r="G1413" s="3"/>
      <c r="H1413" s="3"/>
      <c r="I1413" s="3"/>
      <c r="J1413" s="3"/>
      <c r="K1413" s="3"/>
      <c r="L1413" s="3"/>
      <c r="M1413" s="3"/>
      <c r="N1413" s="3"/>
    </row>
    <row r="1414" spans="3:14" x14ac:dyDescent="0.2">
      <c r="C1414" s="2"/>
      <c r="D1414" s="3"/>
      <c r="E1414" s="3"/>
      <c r="F1414" s="3"/>
      <c r="G1414" s="3"/>
      <c r="H1414" s="3"/>
      <c r="I1414" s="3"/>
      <c r="J1414" s="3"/>
      <c r="K1414" s="3"/>
      <c r="L1414" s="3"/>
      <c r="M1414" s="3"/>
      <c r="N1414" s="3"/>
    </row>
    <row r="1415" spans="3:14" x14ac:dyDescent="0.2">
      <c r="C1415" s="2"/>
      <c r="D1415" s="3"/>
      <c r="E1415" s="3"/>
      <c r="F1415" s="3"/>
      <c r="G1415" s="3"/>
      <c r="H1415" s="3"/>
      <c r="I1415" s="3"/>
      <c r="J1415" s="3"/>
      <c r="K1415" s="3"/>
      <c r="L1415" s="3"/>
      <c r="M1415" s="3"/>
      <c r="N1415" s="3"/>
    </row>
    <row r="1416" spans="3:14" x14ac:dyDescent="0.2">
      <c r="C1416" s="2"/>
      <c r="D1416" s="3"/>
      <c r="E1416" s="3"/>
      <c r="F1416" s="3"/>
      <c r="G1416" s="3"/>
      <c r="H1416" s="3"/>
      <c r="I1416" s="3"/>
      <c r="J1416" s="3"/>
      <c r="K1416" s="3"/>
      <c r="L1416" s="3"/>
      <c r="M1416" s="3"/>
      <c r="N1416" s="3"/>
    </row>
    <row r="1417" spans="3:14" x14ac:dyDescent="0.2">
      <c r="C1417" s="2"/>
      <c r="D1417" s="3"/>
      <c r="E1417" s="3"/>
      <c r="F1417" s="3"/>
      <c r="G1417" s="3"/>
      <c r="H1417" s="3"/>
      <c r="I1417" s="3"/>
      <c r="J1417" s="3"/>
      <c r="K1417" s="3"/>
      <c r="L1417" s="3"/>
      <c r="M1417" s="3"/>
      <c r="N1417" s="3"/>
    </row>
    <row r="1418" spans="3:14" x14ac:dyDescent="0.2">
      <c r="C1418" s="2"/>
      <c r="D1418" s="3"/>
      <c r="E1418" s="3"/>
      <c r="F1418" s="3"/>
      <c r="G1418" s="3"/>
      <c r="H1418" s="3"/>
      <c r="I1418" s="3"/>
      <c r="J1418" s="3"/>
      <c r="K1418" s="3"/>
      <c r="L1418" s="3"/>
      <c r="M1418" s="3"/>
      <c r="N1418" s="3"/>
    </row>
    <row r="1419" spans="3:14" x14ac:dyDescent="0.2">
      <c r="C1419" s="2"/>
      <c r="D1419" s="3"/>
      <c r="E1419" s="3"/>
      <c r="F1419" s="3"/>
      <c r="G1419" s="3"/>
      <c r="H1419" s="3"/>
      <c r="I1419" s="3"/>
      <c r="J1419" s="3"/>
      <c r="K1419" s="3"/>
      <c r="L1419" s="3"/>
      <c r="M1419" s="3"/>
      <c r="N1419" s="3"/>
    </row>
    <row r="1420" spans="3:14" x14ac:dyDescent="0.2">
      <c r="C1420" s="2"/>
      <c r="D1420" s="3"/>
      <c r="E1420" s="3"/>
      <c r="F1420" s="3"/>
      <c r="G1420" s="3"/>
      <c r="H1420" s="3"/>
      <c r="I1420" s="3"/>
      <c r="J1420" s="3"/>
      <c r="K1420" s="3"/>
      <c r="L1420" s="3"/>
      <c r="M1420" s="3"/>
      <c r="N1420" s="3"/>
    </row>
    <row r="1421" spans="3:14" x14ac:dyDescent="0.2">
      <c r="C1421" s="2"/>
      <c r="D1421" s="3"/>
      <c r="E1421" s="3"/>
      <c r="F1421" s="3"/>
      <c r="G1421" s="3"/>
      <c r="H1421" s="3"/>
      <c r="I1421" s="3"/>
      <c r="J1421" s="3"/>
      <c r="K1421" s="3"/>
      <c r="L1421" s="3"/>
      <c r="M1421" s="3"/>
      <c r="N1421" s="3"/>
    </row>
    <row r="1422" spans="3:14" x14ac:dyDescent="0.2">
      <c r="C1422" s="2"/>
      <c r="D1422" s="3"/>
      <c r="E1422" s="3"/>
      <c r="F1422" s="3"/>
      <c r="G1422" s="3"/>
      <c r="H1422" s="3"/>
      <c r="I1422" s="3"/>
      <c r="J1422" s="3"/>
      <c r="K1422" s="3"/>
      <c r="L1422" s="3"/>
      <c r="M1422" s="3"/>
      <c r="N1422" s="3"/>
    </row>
    <row r="1423" spans="3:14" x14ac:dyDescent="0.2">
      <c r="C1423" s="2"/>
      <c r="D1423" s="3"/>
      <c r="E1423" s="3"/>
      <c r="F1423" s="3"/>
      <c r="G1423" s="3"/>
      <c r="H1423" s="3"/>
      <c r="I1423" s="3"/>
      <c r="J1423" s="3"/>
      <c r="K1423" s="3"/>
      <c r="L1423" s="3"/>
      <c r="M1423" s="3"/>
      <c r="N1423" s="3"/>
    </row>
    <row r="1424" spans="3:14" x14ac:dyDescent="0.2">
      <c r="C1424" s="2"/>
      <c r="D1424" s="3"/>
      <c r="E1424" s="3"/>
      <c r="F1424" s="3"/>
      <c r="G1424" s="3"/>
      <c r="H1424" s="3"/>
      <c r="I1424" s="3"/>
      <c r="J1424" s="3"/>
      <c r="K1424" s="3"/>
      <c r="L1424" s="3"/>
      <c r="M1424" s="3"/>
      <c r="N1424" s="3"/>
    </row>
    <row r="1425" spans="3:14" x14ac:dyDescent="0.2">
      <c r="C1425" s="2"/>
      <c r="D1425" s="3"/>
      <c r="E1425" s="3"/>
      <c r="F1425" s="3"/>
      <c r="G1425" s="3"/>
      <c r="H1425" s="3"/>
      <c r="I1425" s="3"/>
      <c r="J1425" s="3"/>
      <c r="K1425" s="3"/>
      <c r="L1425" s="3"/>
      <c r="M1425" s="3"/>
      <c r="N1425" s="3"/>
    </row>
    <row r="1426" spans="3:14" x14ac:dyDescent="0.2">
      <c r="C1426" s="2"/>
      <c r="D1426" s="3"/>
      <c r="E1426" s="3"/>
      <c r="F1426" s="3"/>
      <c r="G1426" s="3"/>
      <c r="H1426" s="3"/>
      <c r="I1426" s="3"/>
      <c r="J1426" s="3"/>
      <c r="K1426" s="3"/>
      <c r="L1426" s="3"/>
      <c r="M1426" s="3"/>
      <c r="N1426" s="3"/>
    </row>
    <row r="1427" spans="3:14" x14ac:dyDescent="0.2">
      <c r="C1427" s="2"/>
      <c r="D1427" s="3"/>
      <c r="E1427" s="3"/>
      <c r="F1427" s="3"/>
      <c r="G1427" s="3"/>
      <c r="H1427" s="3"/>
      <c r="I1427" s="3"/>
      <c r="J1427" s="3"/>
      <c r="K1427" s="3"/>
      <c r="L1427" s="3"/>
      <c r="M1427" s="3"/>
      <c r="N1427" s="3"/>
    </row>
    <row r="1428" spans="3:14" x14ac:dyDescent="0.2">
      <c r="C1428" s="2"/>
      <c r="D1428" s="3"/>
      <c r="E1428" s="3"/>
      <c r="F1428" s="3"/>
      <c r="G1428" s="3"/>
      <c r="H1428" s="3"/>
      <c r="I1428" s="3"/>
      <c r="J1428" s="3"/>
      <c r="K1428" s="3"/>
      <c r="L1428" s="3"/>
      <c r="M1428" s="3"/>
      <c r="N1428" s="3"/>
    </row>
    <row r="1429" spans="3:14" x14ac:dyDescent="0.2">
      <c r="C1429" s="2"/>
      <c r="D1429" s="3"/>
      <c r="E1429" s="3"/>
      <c r="F1429" s="3"/>
      <c r="G1429" s="3"/>
      <c r="H1429" s="3"/>
      <c r="I1429" s="3"/>
      <c r="J1429" s="3"/>
      <c r="K1429" s="3"/>
      <c r="L1429" s="3"/>
      <c r="M1429" s="3"/>
      <c r="N1429" s="3"/>
    </row>
    <row r="1430" spans="3:14" x14ac:dyDescent="0.2">
      <c r="C1430" s="2"/>
      <c r="D1430" s="3"/>
      <c r="E1430" s="3"/>
      <c r="F1430" s="3"/>
      <c r="G1430" s="3"/>
      <c r="H1430" s="3"/>
      <c r="I1430" s="3"/>
      <c r="J1430" s="3"/>
      <c r="K1430" s="3"/>
      <c r="L1430" s="3"/>
      <c r="M1430" s="3"/>
      <c r="N1430" s="3"/>
    </row>
    <row r="1431" spans="3:14" x14ac:dyDescent="0.2">
      <c r="C1431" s="2"/>
      <c r="D1431" s="3"/>
      <c r="E1431" s="3"/>
      <c r="F1431" s="3"/>
      <c r="G1431" s="3"/>
      <c r="H1431" s="3"/>
      <c r="I1431" s="3"/>
      <c r="J1431" s="3"/>
      <c r="K1431" s="3"/>
      <c r="L1431" s="3"/>
      <c r="M1431" s="3"/>
      <c r="N1431" s="3"/>
    </row>
    <row r="1432" spans="3:14" x14ac:dyDescent="0.2">
      <c r="C1432" s="2"/>
      <c r="D1432" s="3"/>
      <c r="E1432" s="3"/>
      <c r="F1432" s="3"/>
      <c r="G1432" s="3"/>
      <c r="H1432" s="3"/>
      <c r="I1432" s="3"/>
      <c r="J1432" s="3"/>
      <c r="K1432" s="3"/>
      <c r="L1432" s="3"/>
      <c r="M1432" s="3"/>
      <c r="N1432" s="3"/>
    </row>
    <row r="1433" spans="3:14" x14ac:dyDescent="0.2">
      <c r="C1433" s="2"/>
      <c r="D1433" s="3"/>
      <c r="E1433" s="3"/>
      <c r="F1433" s="3"/>
      <c r="G1433" s="3"/>
      <c r="H1433" s="3"/>
      <c r="I1433" s="3"/>
      <c r="J1433" s="3"/>
      <c r="K1433" s="3"/>
      <c r="L1433" s="3"/>
      <c r="M1433" s="3"/>
      <c r="N1433" s="3"/>
    </row>
    <row r="1434" spans="3:14" x14ac:dyDescent="0.2">
      <c r="C1434" s="2"/>
      <c r="D1434" s="3"/>
      <c r="E1434" s="3"/>
      <c r="F1434" s="3"/>
      <c r="G1434" s="3"/>
      <c r="H1434" s="3"/>
      <c r="I1434" s="3"/>
      <c r="J1434" s="3"/>
      <c r="K1434" s="3"/>
      <c r="L1434" s="3"/>
      <c r="M1434" s="3"/>
      <c r="N1434" s="3"/>
    </row>
    <row r="1435" spans="3:14" x14ac:dyDescent="0.2">
      <c r="C1435" s="2"/>
      <c r="D1435" s="3"/>
      <c r="E1435" s="3"/>
      <c r="F1435" s="3"/>
      <c r="G1435" s="3"/>
      <c r="H1435" s="3"/>
      <c r="I1435" s="3"/>
      <c r="J1435" s="3"/>
      <c r="K1435" s="3"/>
      <c r="L1435" s="3"/>
      <c r="M1435" s="3"/>
      <c r="N1435" s="3"/>
    </row>
    <row r="1436" spans="3:14" x14ac:dyDescent="0.2">
      <c r="C1436" s="2"/>
      <c r="D1436" s="3"/>
      <c r="E1436" s="3"/>
      <c r="F1436" s="3"/>
      <c r="G1436" s="3"/>
      <c r="H1436" s="3"/>
      <c r="I1436" s="3"/>
      <c r="J1436" s="3"/>
      <c r="K1436" s="3"/>
      <c r="L1436" s="3"/>
      <c r="M1436" s="3"/>
      <c r="N1436" s="3"/>
    </row>
    <row r="1437" spans="3:14" x14ac:dyDescent="0.2">
      <c r="C1437" s="2"/>
      <c r="D1437" s="3"/>
      <c r="E1437" s="3"/>
      <c r="F1437" s="3"/>
      <c r="G1437" s="3"/>
      <c r="H1437" s="3"/>
      <c r="I1437" s="3"/>
      <c r="J1437" s="3"/>
      <c r="K1437" s="3"/>
      <c r="L1437" s="3"/>
      <c r="M1437" s="3"/>
      <c r="N1437" s="3"/>
    </row>
    <row r="1438" spans="3:14" x14ac:dyDescent="0.2">
      <c r="C1438" s="2"/>
      <c r="D1438" s="3"/>
      <c r="E1438" s="3"/>
      <c r="F1438" s="3"/>
      <c r="G1438" s="3"/>
      <c r="H1438" s="3"/>
      <c r="I1438" s="3"/>
      <c r="J1438" s="3"/>
      <c r="K1438" s="3"/>
      <c r="L1438" s="3"/>
      <c r="M1438" s="3"/>
      <c r="N1438" s="3"/>
    </row>
    <row r="1439" spans="3:14" x14ac:dyDescent="0.2">
      <c r="C1439" s="2"/>
      <c r="D1439" s="3"/>
      <c r="E1439" s="3"/>
      <c r="F1439" s="3"/>
      <c r="G1439" s="3"/>
      <c r="H1439" s="3"/>
      <c r="I1439" s="3"/>
      <c r="J1439" s="3"/>
      <c r="K1439" s="3"/>
      <c r="L1439" s="3"/>
      <c r="M1439" s="3"/>
      <c r="N1439" s="3"/>
    </row>
    <row r="1440" spans="3:14" x14ac:dyDescent="0.2">
      <c r="C1440" s="2"/>
      <c r="D1440" s="3"/>
      <c r="E1440" s="3"/>
      <c r="F1440" s="3"/>
      <c r="G1440" s="3"/>
      <c r="H1440" s="3"/>
      <c r="I1440" s="3"/>
      <c r="J1440" s="3"/>
      <c r="K1440" s="3"/>
      <c r="L1440" s="3"/>
      <c r="M1440" s="3"/>
      <c r="N1440" s="3"/>
    </row>
    <row r="1441" spans="3:14" x14ac:dyDescent="0.2">
      <c r="C1441" s="2"/>
      <c r="D1441" s="3"/>
      <c r="E1441" s="3"/>
      <c r="F1441" s="3"/>
      <c r="G1441" s="3"/>
      <c r="H1441" s="3"/>
      <c r="I1441" s="3"/>
      <c r="J1441" s="3"/>
      <c r="K1441" s="3"/>
      <c r="L1441" s="3"/>
      <c r="M1441" s="3"/>
      <c r="N1441" s="3"/>
    </row>
    <row r="1442" spans="3:14" x14ac:dyDescent="0.2">
      <c r="C1442" s="2"/>
      <c r="D1442" s="3"/>
      <c r="E1442" s="3"/>
      <c r="F1442" s="3"/>
      <c r="G1442" s="3"/>
      <c r="H1442" s="3"/>
      <c r="I1442" s="3"/>
      <c r="J1442" s="3"/>
      <c r="K1442" s="3"/>
      <c r="L1442" s="3"/>
      <c r="M1442" s="3"/>
      <c r="N1442" s="3"/>
    </row>
    <row r="1443" spans="3:14" x14ac:dyDescent="0.2">
      <c r="C1443" s="2"/>
      <c r="D1443" s="3"/>
      <c r="E1443" s="3"/>
      <c r="F1443" s="3"/>
      <c r="G1443" s="3"/>
      <c r="H1443" s="3"/>
      <c r="I1443" s="3"/>
      <c r="J1443" s="3"/>
      <c r="K1443" s="3"/>
      <c r="L1443" s="3"/>
      <c r="M1443" s="3"/>
      <c r="N1443" s="3"/>
    </row>
    <row r="1444" spans="3:14" x14ac:dyDescent="0.2">
      <c r="C1444" s="2"/>
      <c r="D1444" s="3"/>
      <c r="E1444" s="3"/>
      <c r="F1444" s="3"/>
      <c r="G1444" s="3"/>
      <c r="H1444" s="3"/>
      <c r="I1444" s="3"/>
      <c r="J1444" s="3"/>
      <c r="K1444" s="3"/>
      <c r="L1444" s="3"/>
      <c r="M1444" s="3"/>
      <c r="N1444" s="3"/>
    </row>
    <row r="1445" spans="3:14" x14ac:dyDescent="0.2">
      <c r="C1445" s="2"/>
      <c r="D1445" s="3"/>
      <c r="E1445" s="3"/>
      <c r="F1445" s="3"/>
      <c r="G1445" s="3"/>
      <c r="H1445" s="3"/>
      <c r="I1445" s="3"/>
      <c r="J1445" s="3"/>
      <c r="K1445" s="3"/>
      <c r="L1445" s="3"/>
      <c r="M1445" s="3"/>
      <c r="N1445" s="3"/>
    </row>
    <row r="1446" spans="3:14" x14ac:dyDescent="0.2">
      <c r="C1446" s="2"/>
      <c r="D1446" s="3"/>
      <c r="E1446" s="3"/>
      <c r="F1446" s="3"/>
      <c r="G1446" s="3"/>
      <c r="H1446" s="3"/>
      <c r="I1446" s="3"/>
      <c r="J1446" s="3"/>
      <c r="K1446" s="3"/>
      <c r="L1446" s="3"/>
      <c r="M1446" s="3"/>
      <c r="N1446" s="3"/>
    </row>
    <row r="1447" spans="3:14" x14ac:dyDescent="0.2">
      <c r="C1447" s="2"/>
      <c r="D1447" s="3"/>
      <c r="E1447" s="3"/>
      <c r="F1447" s="3"/>
      <c r="G1447" s="3"/>
      <c r="H1447" s="3"/>
      <c r="I1447" s="3"/>
      <c r="J1447" s="3"/>
      <c r="K1447" s="3"/>
      <c r="L1447" s="3"/>
      <c r="M1447" s="3"/>
      <c r="N1447" s="3"/>
    </row>
    <row r="1448" spans="3:14" x14ac:dyDescent="0.2">
      <c r="C1448" s="2"/>
      <c r="D1448" s="3"/>
      <c r="E1448" s="3"/>
      <c r="F1448" s="3"/>
      <c r="G1448" s="3"/>
      <c r="H1448" s="3"/>
      <c r="I1448" s="3"/>
      <c r="J1448" s="3"/>
      <c r="K1448" s="3"/>
      <c r="L1448" s="3"/>
      <c r="M1448" s="3"/>
      <c r="N1448" s="3"/>
    </row>
    <row r="1449" spans="3:14" x14ac:dyDescent="0.2">
      <c r="C1449" s="2"/>
      <c r="D1449" s="3"/>
      <c r="E1449" s="3"/>
      <c r="F1449" s="3"/>
      <c r="G1449" s="3"/>
      <c r="H1449" s="3"/>
      <c r="I1449" s="3"/>
      <c r="J1449" s="3"/>
      <c r="K1449" s="3"/>
      <c r="L1449" s="3"/>
      <c r="M1449" s="3"/>
      <c r="N1449" s="3"/>
    </row>
    <row r="1450" spans="3:14" x14ac:dyDescent="0.2">
      <c r="C1450" s="2"/>
      <c r="D1450" s="3"/>
      <c r="E1450" s="3"/>
      <c r="F1450" s="3"/>
      <c r="G1450" s="3"/>
      <c r="H1450" s="3"/>
      <c r="I1450" s="3"/>
      <c r="J1450" s="3"/>
      <c r="K1450" s="3"/>
      <c r="L1450" s="3"/>
      <c r="M1450" s="3"/>
      <c r="N1450" s="3"/>
    </row>
    <row r="1451" spans="3:14" x14ac:dyDescent="0.2">
      <c r="C1451" s="2"/>
      <c r="D1451" s="3"/>
      <c r="E1451" s="3"/>
      <c r="F1451" s="3"/>
      <c r="G1451" s="3"/>
      <c r="H1451" s="3"/>
      <c r="I1451" s="3"/>
      <c r="J1451" s="3"/>
      <c r="K1451" s="3"/>
      <c r="L1451" s="3"/>
      <c r="M1451" s="3"/>
      <c r="N1451" s="3"/>
    </row>
    <row r="1452" spans="3:14" x14ac:dyDescent="0.2">
      <c r="C1452" s="2"/>
      <c r="D1452" s="3"/>
      <c r="E1452" s="3"/>
      <c r="F1452" s="3"/>
      <c r="G1452" s="3"/>
      <c r="H1452" s="3"/>
      <c r="I1452" s="3"/>
      <c r="J1452" s="3"/>
      <c r="K1452" s="3"/>
      <c r="L1452" s="3"/>
      <c r="M1452" s="3"/>
      <c r="N1452" s="3"/>
    </row>
    <row r="1453" spans="3:14" x14ac:dyDescent="0.2">
      <c r="C1453" s="2"/>
      <c r="D1453" s="3"/>
      <c r="E1453" s="3"/>
      <c r="F1453" s="3"/>
      <c r="G1453" s="3"/>
      <c r="H1453" s="3"/>
      <c r="I1453" s="3"/>
      <c r="J1453" s="3"/>
      <c r="K1453" s="3"/>
      <c r="L1453" s="3"/>
      <c r="M1453" s="3"/>
      <c r="N1453" s="3"/>
    </row>
    <row r="1454" spans="3:14" x14ac:dyDescent="0.2">
      <c r="C1454" s="2"/>
      <c r="D1454" s="3"/>
      <c r="E1454" s="3"/>
      <c r="F1454" s="3"/>
      <c r="G1454" s="3"/>
      <c r="H1454" s="3"/>
      <c r="I1454" s="3"/>
      <c r="J1454" s="3"/>
      <c r="K1454" s="3"/>
      <c r="L1454" s="3"/>
      <c r="M1454" s="3"/>
      <c r="N1454" s="3"/>
    </row>
    <row r="1455" spans="3:14" x14ac:dyDescent="0.2">
      <c r="C1455" s="2"/>
      <c r="D1455" s="3"/>
      <c r="E1455" s="3"/>
      <c r="F1455" s="3"/>
      <c r="G1455" s="3"/>
      <c r="H1455" s="3"/>
      <c r="I1455" s="3"/>
      <c r="J1455" s="3"/>
      <c r="K1455" s="3"/>
      <c r="L1455" s="3"/>
      <c r="M1455" s="3"/>
      <c r="N1455" s="3"/>
    </row>
    <row r="1456" spans="3:14" x14ac:dyDescent="0.2">
      <c r="C1456" s="2"/>
      <c r="D1456" s="3"/>
      <c r="E1456" s="3"/>
      <c r="F1456" s="3"/>
      <c r="G1456" s="3"/>
      <c r="H1456" s="3"/>
      <c r="I1456" s="3"/>
      <c r="J1456" s="3"/>
      <c r="K1456" s="3"/>
      <c r="L1456" s="3"/>
      <c r="M1456" s="3"/>
      <c r="N1456" s="3"/>
    </row>
    <row r="1457" spans="3:14" x14ac:dyDescent="0.2">
      <c r="C1457" s="2"/>
      <c r="D1457" s="3"/>
      <c r="E1457" s="3"/>
      <c r="F1457" s="3"/>
      <c r="G1457" s="3"/>
      <c r="H1457" s="3"/>
      <c r="I1457" s="3"/>
      <c r="J1457" s="3"/>
      <c r="K1457" s="3"/>
      <c r="L1457" s="3"/>
      <c r="M1457" s="3"/>
      <c r="N1457" s="3"/>
    </row>
    <row r="1458" spans="3:14" x14ac:dyDescent="0.2">
      <c r="C1458" s="2"/>
      <c r="D1458" s="3"/>
      <c r="E1458" s="3"/>
      <c r="F1458" s="3"/>
      <c r="G1458" s="3"/>
      <c r="H1458" s="3"/>
      <c r="I1458" s="3"/>
      <c r="J1458" s="3"/>
      <c r="K1458" s="3"/>
      <c r="L1458" s="3"/>
      <c r="M1458" s="3"/>
      <c r="N1458" s="3"/>
    </row>
    <row r="1459" spans="3:14" x14ac:dyDescent="0.2">
      <c r="C1459" s="2"/>
      <c r="D1459" s="3"/>
      <c r="E1459" s="3"/>
      <c r="F1459" s="3"/>
      <c r="G1459" s="3"/>
      <c r="H1459" s="3"/>
      <c r="I1459" s="3"/>
      <c r="J1459" s="3"/>
      <c r="K1459" s="3"/>
      <c r="L1459" s="3"/>
      <c r="M1459" s="3"/>
      <c r="N1459" s="3"/>
    </row>
    <row r="1460" spans="3:14" x14ac:dyDescent="0.2">
      <c r="C1460" s="2"/>
      <c r="D1460" s="3"/>
      <c r="E1460" s="3"/>
      <c r="F1460" s="3"/>
      <c r="G1460" s="3"/>
      <c r="H1460" s="3"/>
      <c r="I1460" s="3"/>
      <c r="J1460" s="3"/>
      <c r="K1460" s="3"/>
      <c r="L1460" s="3"/>
      <c r="M1460" s="3"/>
      <c r="N1460" s="3"/>
    </row>
    <row r="1461" spans="3:14" x14ac:dyDescent="0.2">
      <c r="C1461" s="2"/>
      <c r="D1461" s="3"/>
      <c r="E1461" s="3"/>
      <c r="F1461" s="3"/>
      <c r="G1461" s="3"/>
      <c r="H1461" s="3"/>
      <c r="I1461" s="3"/>
      <c r="J1461" s="3"/>
      <c r="K1461" s="3"/>
      <c r="L1461" s="3"/>
      <c r="M1461" s="3"/>
      <c r="N1461" s="3"/>
    </row>
    <row r="1462" spans="3:14" x14ac:dyDescent="0.2">
      <c r="C1462" s="2"/>
      <c r="D1462" s="3"/>
      <c r="E1462" s="3"/>
      <c r="F1462" s="3"/>
      <c r="G1462" s="3"/>
      <c r="H1462" s="3"/>
      <c r="I1462" s="3"/>
      <c r="J1462" s="3"/>
      <c r="K1462" s="3"/>
      <c r="L1462" s="3"/>
      <c r="M1462" s="3"/>
      <c r="N1462" s="3"/>
    </row>
    <row r="1463" spans="3:14" x14ac:dyDescent="0.2">
      <c r="C1463" s="2"/>
      <c r="D1463" s="3"/>
      <c r="E1463" s="3"/>
      <c r="F1463" s="3"/>
      <c r="G1463" s="3"/>
      <c r="H1463" s="3"/>
      <c r="I1463" s="3"/>
      <c r="J1463" s="3"/>
      <c r="K1463" s="3"/>
      <c r="L1463" s="3"/>
      <c r="M1463" s="3"/>
      <c r="N1463" s="3"/>
    </row>
    <row r="1464" spans="3:14" x14ac:dyDescent="0.2">
      <c r="C1464" s="2"/>
      <c r="D1464" s="3"/>
      <c r="E1464" s="3"/>
      <c r="F1464" s="3"/>
      <c r="G1464" s="3"/>
      <c r="H1464" s="3"/>
      <c r="I1464" s="3"/>
      <c r="J1464" s="3"/>
      <c r="K1464" s="3"/>
      <c r="L1464" s="3"/>
      <c r="M1464" s="3"/>
      <c r="N1464" s="3"/>
    </row>
    <row r="1465" spans="3:14" x14ac:dyDescent="0.2">
      <c r="C1465" s="2"/>
      <c r="D1465" s="3"/>
      <c r="E1465" s="3"/>
      <c r="F1465" s="3"/>
      <c r="G1465" s="3"/>
      <c r="H1465" s="3"/>
      <c r="I1465" s="3"/>
      <c r="J1465" s="3"/>
      <c r="K1465" s="3"/>
      <c r="L1465" s="3"/>
      <c r="M1465" s="3"/>
      <c r="N1465" s="3"/>
    </row>
    <row r="1466" spans="3:14" x14ac:dyDescent="0.2">
      <c r="C1466" s="2"/>
      <c r="D1466" s="3"/>
      <c r="E1466" s="3"/>
      <c r="F1466" s="3"/>
      <c r="G1466" s="3"/>
      <c r="H1466" s="3"/>
      <c r="I1466" s="3"/>
      <c r="J1466" s="3"/>
      <c r="K1466" s="3"/>
      <c r="L1466" s="3"/>
      <c r="M1466" s="3"/>
      <c r="N1466" s="3"/>
    </row>
    <row r="1467" spans="3:14" x14ac:dyDescent="0.2">
      <c r="C1467" s="2"/>
      <c r="D1467" s="3"/>
      <c r="E1467" s="3"/>
      <c r="F1467" s="3"/>
      <c r="G1467" s="3"/>
      <c r="H1467" s="3"/>
      <c r="I1467" s="3"/>
      <c r="J1467" s="3"/>
      <c r="K1467" s="3"/>
      <c r="L1467" s="3"/>
      <c r="M1467" s="3"/>
      <c r="N1467" s="3"/>
    </row>
    <row r="1468" spans="3:14" x14ac:dyDescent="0.2">
      <c r="C1468" s="2"/>
      <c r="D1468" s="3"/>
      <c r="E1468" s="3"/>
      <c r="F1468" s="3"/>
      <c r="G1468" s="3"/>
      <c r="H1468" s="3"/>
      <c r="I1468" s="3"/>
      <c r="J1468" s="3"/>
      <c r="K1468" s="3"/>
      <c r="L1468" s="3"/>
      <c r="M1468" s="3"/>
      <c r="N1468" s="3"/>
    </row>
    <row r="1469" spans="3:14" x14ac:dyDescent="0.2">
      <c r="C1469" s="2"/>
      <c r="D1469" s="3"/>
      <c r="E1469" s="3"/>
      <c r="F1469" s="3"/>
      <c r="G1469" s="3"/>
      <c r="H1469" s="3"/>
      <c r="I1469" s="3"/>
      <c r="J1469" s="3"/>
      <c r="K1469" s="3"/>
      <c r="L1469" s="3"/>
      <c r="M1469" s="3"/>
      <c r="N1469" s="3"/>
    </row>
    <row r="1470" spans="3:14" x14ac:dyDescent="0.2">
      <c r="C1470" s="2"/>
      <c r="D1470" s="3"/>
      <c r="E1470" s="3"/>
      <c r="F1470" s="3"/>
      <c r="G1470" s="3"/>
      <c r="H1470" s="3"/>
      <c r="I1470" s="3"/>
      <c r="J1470" s="3"/>
      <c r="K1470" s="3"/>
      <c r="L1470" s="3"/>
      <c r="M1470" s="3"/>
      <c r="N1470" s="3"/>
    </row>
    <row r="1471" spans="3:14" x14ac:dyDescent="0.2">
      <c r="C1471" s="2"/>
      <c r="D1471" s="3"/>
      <c r="E1471" s="3"/>
      <c r="F1471" s="3"/>
      <c r="G1471" s="3"/>
      <c r="H1471" s="3"/>
      <c r="I1471" s="3"/>
      <c r="J1471" s="3"/>
      <c r="K1471" s="3"/>
      <c r="L1471" s="3"/>
      <c r="M1471" s="3"/>
      <c r="N1471" s="3"/>
    </row>
    <row r="1472" spans="3:14" x14ac:dyDescent="0.2">
      <c r="C1472" s="2"/>
      <c r="D1472" s="3"/>
      <c r="E1472" s="3"/>
      <c r="F1472" s="3"/>
      <c r="G1472" s="3"/>
      <c r="H1472" s="3"/>
      <c r="I1472" s="3"/>
      <c r="J1472" s="3"/>
      <c r="K1472" s="3"/>
      <c r="L1472" s="3"/>
      <c r="M1472" s="3"/>
      <c r="N1472" s="3"/>
    </row>
    <row r="1473" spans="3:14" x14ac:dyDescent="0.2">
      <c r="C1473" s="2"/>
      <c r="D1473" s="3"/>
      <c r="E1473" s="3"/>
      <c r="F1473" s="3"/>
      <c r="G1473" s="3"/>
      <c r="H1473" s="3"/>
      <c r="I1473" s="3"/>
      <c r="J1473" s="3"/>
      <c r="K1473" s="3"/>
      <c r="L1473" s="3"/>
      <c r="M1473" s="3"/>
      <c r="N1473" s="3"/>
    </row>
    <row r="1474" spans="3:14" x14ac:dyDescent="0.2">
      <c r="C1474" s="2"/>
      <c r="D1474" s="3"/>
      <c r="E1474" s="3"/>
      <c r="F1474" s="3"/>
      <c r="G1474" s="3"/>
      <c r="H1474" s="3"/>
      <c r="I1474" s="3"/>
      <c r="J1474" s="3"/>
      <c r="K1474" s="3"/>
      <c r="L1474" s="3"/>
      <c r="M1474" s="3"/>
      <c r="N1474" s="3"/>
    </row>
    <row r="1475" spans="3:14" x14ac:dyDescent="0.2">
      <c r="C1475" s="2"/>
      <c r="D1475" s="3"/>
      <c r="E1475" s="3"/>
      <c r="F1475" s="3"/>
      <c r="G1475" s="3"/>
      <c r="H1475" s="3"/>
      <c r="I1475" s="3"/>
      <c r="J1475" s="3"/>
      <c r="K1475" s="3"/>
      <c r="L1475" s="3"/>
      <c r="M1475" s="3"/>
      <c r="N1475" s="3"/>
    </row>
    <row r="1476" spans="3:14" x14ac:dyDescent="0.2">
      <c r="C1476" s="2"/>
      <c r="D1476" s="3"/>
      <c r="E1476" s="3"/>
      <c r="F1476" s="3"/>
      <c r="G1476" s="3"/>
      <c r="H1476" s="3"/>
      <c r="I1476" s="3"/>
      <c r="J1476" s="3"/>
      <c r="K1476" s="3"/>
      <c r="L1476" s="3"/>
      <c r="M1476" s="3"/>
      <c r="N1476" s="3"/>
    </row>
    <row r="1477" spans="3:14" x14ac:dyDescent="0.2">
      <c r="C1477" s="2"/>
      <c r="D1477" s="3"/>
      <c r="E1477" s="3"/>
      <c r="F1477" s="3"/>
      <c r="G1477" s="3"/>
      <c r="H1477" s="3"/>
      <c r="I1477" s="3"/>
      <c r="J1477" s="3"/>
      <c r="K1477" s="3"/>
      <c r="L1477" s="3"/>
      <c r="M1477" s="3"/>
      <c r="N1477" s="3"/>
    </row>
    <row r="1478" spans="3:14" x14ac:dyDescent="0.2">
      <c r="C1478" s="2"/>
      <c r="D1478" s="3"/>
      <c r="E1478" s="3"/>
      <c r="F1478" s="3"/>
      <c r="G1478" s="3"/>
      <c r="H1478" s="3"/>
      <c r="I1478" s="3"/>
      <c r="J1478" s="3"/>
      <c r="K1478" s="3"/>
      <c r="L1478" s="3"/>
      <c r="M1478" s="3"/>
      <c r="N1478" s="3"/>
    </row>
    <row r="1479" spans="3:14" x14ac:dyDescent="0.2">
      <c r="C1479" s="2"/>
      <c r="D1479" s="3"/>
      <c r="E1479" s="3"/>
      <c r="F1479" s="3"/>
      <c r="G1479" s="3"/>
      <c r="H1479" s="3"/>
      <c r="I1479" s="3"/>
      <c r="J1479" s="3"/>
      <c r="K1479" s="3"/>
      <c r="L1479" s="3"/>
      <c r="M1479" s="3"/>
      <c r="N1479" s="3"/>
    </row>
    <row r="1480" spans="3:14" x14ac:dyDescent="0.2">
      <c r="C1480" s="2"/>
      <c r="D1480" s="3"/>
      <c r="E1480" s="3"/>
      <c r="F1480" s="3"/>
      <c r="G1480" s="3"/>
      <c r="H1480" s="3"/>
      <c r="I1480" s="3"/>
      <c r="J1480" s="3"/>
      <c r="K1480" s="3"/>
      <c r="L1480" s="3"/>
      <c r="M1480" s="3"/>
      <c r="N1480" s="3"/>
    </row>
    <row r="1481" spans="3:14" x14ac:dyDescent="0.2">
      <c r="C1481" s="2"/>
      <c r="D1481" s="3"/>
      <c r="E1481" s="3"/>
      <c r="F1481" s="3"/>
      <c r="G1481" s="3"/>
      <c r="H1481" s="3"/>
      <c r="I1481" s="3"/>
      <c r="J1481" s="3"/>
      <c r="K1481" s="3"/>
      <c r="L1481" s="3"/>
      <c r="M1481" s="3"/>
      <c r="N1481" s="3"/>
    </row>
    <row r="1482" spans="3:14" x14ac:dyDescent="0.2">
      <c r="C1482" s="2"/>
      <c r="D1482" s="3"/>
      <c r="E1482" s="3"/>
      <c r="F1482" s="3"/>
      <c r="G1482" s="3"/>
      <c r="H1482" s="3"/>
      <c r="I1482" s="3"/>
      <c r="J1482" s="3"/>
      <c r="K1482" s="3"/>
      <c r="L1482" s="3"/>
      <c r="M1482" s="3"/>
      <c r="N1482" s="3"/>
    </row>
    <row r="1483" spans="3:14" x14ac:dyDescent="0.2">
      <c r="C1483" s="2"/>
      <c r="D1483" s="3"/>
      <c r="E1483" s="3"/>
      <c r="F1483" s="3"/>
      <c r="G1483" s="3"/>
      <c r="H1483" s="3"/>
      <c r="I1483" s="3"/>
      <c r="J1483" s="3"/>
      <c r="K1483" s="3"/>
      <c r="L1483" s="3"/>
      <c r="M1483" s="3"/>
      <c r="N1483" s="3"/>
    </row>
    <row r="1484" spans="3:14" x14ac:dyDescent="0.2">
      <c r="C1484" s="2"/>
      <c r="D1484" s="3"/>
      <c r="E1484" s="3"/>
      <c r="F1484" s="3"/>
      <c r="G1484" s="3"/>
      <c r="H1484" s="3"/>
      <c r="I1484" s="3"/>
      <c r="J1484" s="3"/>
      <c r="K1484" s="3"/>
      <c r="L1484" s="3"/>
      <c r="M1484" s="3"/>
      <c r="N1484" s="3"/>
    </row>
    <row r="1485" spans="3:14" x14ac:dyDescent="0.2">
      <c r="C1485" s="2"/>
      <c r="D1485" s="3"/>
      <c r="E1485" s="3"/>
      <c r="F1485" s="3"/>
      <c r="G1485" s="3"/>
      <c r="H1485" s="3"/>
      <c r="I1485" s="3"/>
      <c r="J1485" s="3"/>
      <c r="K1485" s="3"/>
      <c r="L1485" s="3"/>
      <c r="M1485" s="3"/>
      <c r="N1485" s="3"/>
    </row>
    <row r="1486" spans="3:14" x14ac:dyDescent="0.2">
      <c r="C1486" s="2"/>
      <c r="D1486" s="3"/>
      <c r="E1486" s="3"/>
      <c r="F1486" s="3"/>
      <c r="G1486" s="3"/>
      <c r="H1486" s="3"/>
      <c r="I1486" s="3"/>
      <c r="J1486" s="3"/>
      <c r="K1486" s="3"/>
      <c r="L1486" s="3"/>
      <c r="M1486" s="3"/>
      <c r="N1486" s="3"/>
    </row>
    <row r="1487" spans="3:14" x14ac:dyDescent="0.2">
      <c r="C1487" s="2"/>
      <c r="D1487" s="3"/>
      <c r="E1487" s="3"/>
      <c r="F1487" s="3"/>
      <c r="G1487" s="3"/>
      <c r="H1487" s="3"/>
      <c r="I1487" s="3"/>
      <c r="J1487" s="3"/>
      <c r="K1487" s="3"/>
      <c r="L1487" s="3"/>
      <c r="M1487" s="3"/>
      <c r="N1487" s="3"/>
    </row>
    <row r="1488" spans="3:14" x14ac:dyDescent="0.2">
      <c r="C1488" s="2"/>
      <c r="D1488" s="3"/>
      <c r="E1488" s="3"/>
      <c r="F1488" s="3"/>
      <c r="G1488" s="3"/>
      <c r="H1488" s="3"/>
      <c r="I1488" s="3"/>
      <c r="J1488" s="3"/>
      <c r="K1488" s="3"/>
      <c r="L1488" s="3"/>
      <c r="M1488" s="3"/>
      <c r="N1488" s="3"/>
    </row>
    <row r="1489" spans="3:14" x14ac:dyDescent="0.2">
      <c r="C1489" s="2"/>
      <c r="D1489" s="3"/>
      <c r="E1489" s="3"/>
      <c r="F1489" s="3"/>
      <c r="G1489" s="3"/>
      <c r="H1489" s="3"/>
      <c r="I1489" s="3"/>
      <c r="J1489" s="3"/>
      <c r="K1489" s="3"/>
      <c r="L1489" s="3"/>
      <c r="M1489" s="3"/>
      <c r="N1489" s="3"/>
    </row>
    <row r="1490" spans="3:14" x14ac:dyDescent="0.2">
      <c r="C1490" s="2"/>
      <c r="D1490" s="3"/>
      <c r="E1490" s="3"/>
      <c r="F1490" s="3"/>
      <c r="G1490" s="3"/>
      <c r="H1490" s="3"/>
      <c r="I1490" s="3"/>
      <c r="J1490" s="3"/>
      <c r="K1490" s="3"/>
      <c r="L1490" s="3"/>
      <c r="M1490" s="3"/>
      <c r="N1490" s="3"/>
    </row>
    <row r="1491" spans="3:14" x14ac:dyDescent="0.2">
      <c r="C1491" s="2"/>
      <c r="D1491" s="3"/>
      <c r="E1491" s="3"/>
      <c r="F1491" s="3"/>
      <c r="G1491" s="3"/>
      <c r="H1491" s="3"/>
      <c r="I1491" s="3"/>
      <c r="J1491" s="3"/>
      <c r="K1491" s="3"/>
      <c r="L1491" s="3"/>
      <c r="M1491" s="3"/>
      <c r="N1491" s="3"/>
    </row>
    <row r="1492" spans="3:14" x14ac:dyDescent="0.2">
      <c r="C1492" s="2"/>
      <c r="D1492" s="3"/>
      <c r="E1492" s="3"/>
      <c r="F1492" s="3"/>
      <c r="G1492" s="3"/>
      <c r="H1492" s="3"/>
      <c r="I1492" s="3"/>
      <c r="J1492" s="3"/>
      <c r="K1492" s="3"/>
      <c r="L1492" s="3"/>
      <c r="M1492" s="3"/>
      <c r="N1492" s="3"/>
    </row>
    <row r="1493" spans="3:14" x14ac:dyDescent="0.2">
      <c r="C1493" s="2"/>
      <c r="D1493" s="3"/>
      <c r="E1493" s="3"/>
      <c r="F1493" s="3"/>
      <c r="G1493" s="3"/>
      <c r="H1493" s="3"/>
      <c r="I1493" s="3"/>
      <c r="J1493" s="3"/>
      <c r="K1493" s="3"/>
      <c r="L1493" s="3"/>
      <c r="M1493" s="3"/>
      <c r="N1493" s="3"/>
    </row>
    <row r="1494" spans="3:14" x14ac:dyDescent="0.2">
      <c r="C1494" s="2"/>
      <c r="D1494" s="3"/>
      <c r="E1494" s="3"/>
      <c r="F1494" s="3"/>
      <c r="G1494" s="3"/>
      <c r="H1494" s="3"/>
      <c r="I1494" s="3"/>
      <c r="J1494" s="3"/>
      <c r="K1494" s="3"/>
      <c r="L1494" s="3"/>
      <c r="M1494" s="3"/>
      <c r="N1494" s="3"/>
    </row>
    <row r="1495" spans="3:14" x14ac:dyDescent="0.2">
      <c r="C1495" s="2"/>
      <c r="D1495" s="3"/>
      <c r="E1495" s="3"/>
      <c r="F1495" s="3"/>
      <c r="G1495" s="3"/>
      <c r="H1495" s="3"/>
      <c r="I1495" s="3"/>
      <c r="J1495" s="3"/>
      <c r="K1495" s="3"/>
      <c r="L1495" s="3"/>
      <c r="M1495" s="3"/>
      <c r="N1495" s="3"/>
    </row>
    <row r="1496" spans="3:14" x14ac:dyDescent="0.2">
      <c r="C1496" s="2"/>
      <c r="D1496" s="3"/>
      <c r="E1496" s="3"/>
      <c r="F1496" s="3"/>
      <c r="G1496" s="3"/>
      <c r="H1496" s="3"/>
      <c r="I1496" s="3"/>
      <c r="J1496" s="3"/>
      <c r="K1496" s="3"/>
      <c r="L1496" s="3"/>
      <c r="M1496" s="3"/>
      <c r="N1496" s="3"/>
    </row>
    <row r="1497" spans="3:14" x14ac:dyDescent="0.2">
      <c r="C1497" s="2"/>
      <c r="D1497" s="3"/>
      <c r="E1497" s="3"/>
      <c r="F1497" s="3"/>
      <c r="G1497" s="3"/>
      <c r="H1497" s="3"/>
      <c r="I1497" s="3"/>
      <c r="J1497" s="3"/>
      <c r="K1497" s="3"/>
      <c r="L1497" s="3"/>
      <c r="M1497" s="3"/>
      <c r="N1497" s="3"/>
    </row>
    <row r="1498" spans="3:14" x14ac:dyDescent="0.2">
      <c r="C1498" s="2"/>
      <c r="D1498" s="3"/>
      <c r="E1498" s="3"/>
      <c r="F1498" s="3"/>
      <c r="G1498" s="3"/>
      <c r="H1498" s="3"/>
      <c r="I1498" s="3"/>
      <c r="J1498" s="3"/>
      <c r="K1498" s="3"/>
      <c r="L1498" s="3"/>
      <c r="M1498" s="3"/>
      <c r="N1498" s="3"/>
    </row>
    <row r="1499" spans="3:14" x14ac:dyDescent="0.2">
      <c r="C1499" s="2"/>
      <c r="D1499" s="3"/>
      <c r="E1499" s="3"/>
      <c r="F1499" s="3"/>
      <c r="G1499" s="3"/>
      <c r="H1499" s="3"/>
      <c r="I1499" s="3"/>
      <c r="J1499" s="3"/>
      <c r="K1499" s="3"/>
      <c r="L1499" s="3"/>
      <c r="M1499" s="3"/>
      <c r="N1499" s="3"/>
    </row>
    <row r="1500" spans="3:14" x14ac:dyDescent="0.2">
      <c r="C1500" s="2"/>
      <c r="D1500" s="3"/>
      <c r="E1500" s="3"/>
      <c r="F1500" s="3"/>
      <c r="G1500" s="3"/>
      <c r="H1500" s="3"/>
      <c r="I1500" s="3"/>
      <c r="J1500" s="3"/>
      <c r="K1500" s="3"/>
      <c r="L1500" s="3"/>
      <c r="M1500" s="3"/>
      <c r="N1500" s="3"/>
    </row>
    <row r="1501" spans="3:14" x14ac:dyDescent="0.2">
      <c r="C1501" s="2"/>
      <c r="D1501" s="3"/>
      <c r="E1501" s="3"/>
      <c r="F1501" s="3"/>
      <c r="G1501" s="3"/>
      <c r="H1501" s="3"/>
      <c r="I1501" s="3"/>
      <c r="J1501" s="3"/>
      <c r="K1501" s="3"/>
      <c r="L1501" s="3"/>
      <c r="M1501" s="3"/>
      <c r="N1501" s="3"/>
    </row>
    <row r="1502" spans="3:14" x14ac:dyDescent="0.2">
      <c r="C1502" s="2"/>
      <c r="D1502" s="3"/>
      <c r="E1502" s="3"/>
      <c r="F1502" s="3"/>
      <c r="G1502" s="3"/>
      <c r="H1502" s="3"/>
      <c r="I1502" s="3"/>
      <c r="J1502" s="3"/>
      <c r="K1502" s="3"/>
      <c r="L1502" s="3"/>
      <c r="M1502" s="3"/>
      <c r="N1502" s="3"/>
    </row>
    <row r="1503" spans="3:14" x14ac:dyDescent="0.2">
      <c r="C1503" s="2"/>
      <c r="D1503" s="3"/>
      <c r="E1503" s="3"/>
      <c r="F1503" s="3"/>
      <c r="G1503" s="3"/>
      <c r="H1503" s="3"/>
      <c r="I1503" s="3"/>
      <c r="J1503" s="3"/>
      <c r="K1503" s="3"/>
      <c r="L1503" s="3"/>
      <c r="M1503" s="3"/>
      <c r="N1503" s="3"/>
    </row>
    <row r="1504" spans="3:14" x14ac:dyDescent="0.2">
      <c r="C1504" s="2"/>
      <c r="D1504" s="3"/>
      <c r="E1504" s="3"/>
      <c r="F1504" s="3"/>
      <c r="G1504" s="3"/>
      <c r="H1504" s="3"/>
      <c r="I1504" s="3"/>
      <c r="J1504" s="3"/>
      <c r="K1504" s="3"/>
      <c r="L1504" s="3"/>
      <c r="M1504" s="3"/>
      <c r="N1504" s="3"/>
    </row>
    <row r="1505" spans="3:14" x14ac:dyDescent="0.2">
      <c r="C1505" s="2"/>
      <c r="D1505" s="3"/>
      <c r="E1505" s="3"/>
      <c r="F1505" s="3"/>
      <c r="G1505" s="3"/>
      <c r="H1505" s="3"/>
      <c r="I1505" s="3"/>
      <c r="J1505" s="3"/>
      <c r="K1505" s="3"/>
      <c r="L1505" s="3"/>
      <c r="M1505" s="3"/>
      <c r="N1505" s="3"/>
    </row>
    <row r="1506" spans="3:14" x14ac:dyDescent="0.2">
      <c r="C1506" s="2"/>
      <c r="D1506" s="3"/>
      <c r="E1506" s="3"/>
      <c r="F1506" s="3"/>
      <c r="G1506" s="3"/>
      <c r="H1506" s="3"/>
      <c r="I1506" s="3"/>
      <c r="J1506" s="3"/>
      <c r="K1506" s="3"/>
      <c r="L1506" s="3"/>
      <c r="M1506" s="3"/>
      <c r="N1506" s="3"/>
    </row>
    <row r="1507" spans="3:14" x14ac:dyDescent="0.2">
      <c r="C1507" s="2"/>
      <c r="D1507" s="3"/>
      <c r="E1507" s="3"/>
      <c r="F1507" s="3"/>
      <c r="G1507" s="3"/>
      <c r="H1507" s="3"/>
      <c r="I1507" s="3"/>
      <c r="J1507" s="3"/>
      <c r="K1507" s="3"/>
      <c r="L1507" s="3"/>
      <c r="M1507" s="3"/>
      <c r="N1507" s="3"/>
    </row>
    <row r="1508" spans="3:14" x14ac:dyDescent="0.2">
      <c r="C1508" s="2"/>
      <c r="D1508" s="3"/>
      <c r="E1508" s="3"/>
      <c r="F1508" s="3"/>
      <c r="G1508" s="3"/>
      <c r="H1508" s="3"/>
      <c r="I1508" s="3"/>
      <c r="J1508" s="3"/>
      <c r="K1508" s="3"/>
      <c r="L1508" s="3"/>
      <c r="M1508" s="3"/>
      <c r="N1508" s="3"/>
    </row>
    <row r="1509" spans="3:14" x14ac:dyDescent="0.2">
      <c r="C1509" s="2"/>
      <c r="D1509" s="3"/>
      <c r="E1509" s="3"/>
      <c r="F1509" s="3"/>
      <c r="G1509" s="3"/>
      <c r="H1509" s="3"/>
      <c r="I1509" s="3"/>
      <c r="J1509" s="3"/>
      <c r="K1509" s="3"/>
      <c r="L1509" s="3"/>
      <c r="M1509" s="3"/>
      <c r="N1509" s="3"/>
    </row>
    <row r="1510" spans="3:14" x14ac:dyDescent="0.2">
      <c r="C1510" s="2"/>
      <c r="D1510" s="3"/>
      <c r="E1510" s="3"/>
      <c r="F1510" s="3"/>
      <c r="G1510" s="3"/>
      <c r="H1510" s="3"/>
      <c r="I1510" s="3"/>
      <c r="J1510" s="3"/>
      <c r="K1510" s="3"/>
      <c r="L1510" s="3"/>
      <c r="M1510" s="3"/>
      <c r="N1510" s="3"/>
    </row>
    <row r="1511" spans="3:14" x14ac:dyDescent="0.2">
      <c r="C1511" s="2"/>
      <c r="D1511" s="3"/>
      <c r="E1511" s="3"/>
      <c r="F1511" s="3"/>
      <c r="G1511" s="3"/>
      <c r="H1511" s="3"/>
      <c r="I1511" s="3"/>
      <c r="J1511" s="3"/>
      <c r="K1511" s="3"/>
      <c r="L1511" s="3"/>
      <c r="M1511" s="3"/>
      <c r="N1511" s="3"/>
    </row>
    <row r="1512" spans="3:14" x14ac:dyDescent="0.2">
      <c r="C1512" s="2"/>
      <c r="D1512" s="3"/>
      <c r="E1512" s="3"/>
      <c r="F1512" s="3"/>
      <c r="G1512" s="3"/>
      <c r="H1512" s="3"/>
      <c r="I1512" s="3"/>
      <c r="J1512" s="3"/>
      <c r="K1512" s="3"/>
      <c r="L1512" s="3"/>
      <c r="M1512" s="3"/>
      <c r="N1512" s="3"/>
    </row>
    <row r="1513" spans="3:14" x14ac:dyDescent="0.2">
      <c r="C1513" s="2"/>
      <c r="D1513" s="3"/>
      <c r="E1513" s="3"/>
      <c r="F1513" s="3"/>
      <c r="G1513" s="3"/>
      <c r="H1513" s="3"/>
      <c r="I1513" s="3"/>
      <c r="J1513" s="3"/>
      <c r="K1513" s="3"/>
      <c r="L1513" s="3"/>
      <c r="M1513" s="3"/>
      <c r="N1513" s="3"/>
    </row>
    <row r="1514" spans="3:14" x14ac:dyDescent="0.2">
      <c r="C1514" s="2"/>
      <c r="D1514" s="3"/>
      <c r="E1514" s="3"/>
      <c r="F1514" s="3"/>
      <c r="G1514" s="3"/>
      <c r="H1514" s="3"/>
      <c r="I1514" s="3"/>
      <c r="J1514" s="3"/>
      <c r="K1514" s="3"/>
      <c r="L1514" s="3"/>
      <c r="M1514" s="3"/>
      <c r="N1514" s="3"/>
    </row>
    <row r="1515" spans="3:14" x14ac:dyDescent="0.2">
      <c r="C1515" s="2"/>
      <c r="D1515" s="3"/>
      <c r="E1515" s="3"/>
      <c r="F1515" s="3"/>
      <c r="G1515" s="3"/>
      <c r="H1515" s="3"/>
      <c r="I1515" s="3"/>
      <c r="J1515" s="3"/>
      <c r="K1515" s="3"/>
      <c r="L1515" s="3"/>
      <c r="M1515" s="3"/>
      <c r="N1515" s="3"/>
    </row>
    <row r="1516" spans="3:14" x14ac:dyDescent="0.2">
      <c r="C1516" s="2"/>
      <c r="D1516" s="3"/>
      <c r="E1516" s="3"/>
      <c r="F1516" s="3"/>
      <c r="G1516" s="3"/>
      <c r="H1516" s="3"/>
      <c r="I1516" s="3"/>
      <c r="J1516" s="3"/>
      <c r="K1516" s="3"/>
      <c r="L1516" s="3"/>
      <c r="M1516" s="3"/>
      <c r="N1516" s="3"/>
    </row>
    <row r="1517" spans="3:14" x14ac:dyDescent="0.2">
      <c r="C1517" s="2"/>
      <c r="D1517" s="3"/>
      <c r="E1517" s="3"/>
      <c r="F1517" s="3"/>
      <c r="G1517" s="3"/>
      <c r="H1517" s="3"/>
      <c r="I1517" s="3"/>
      <c r="J1517" s="3"/>
      <c r="K1517" s="3"/>
      <c r="L1517" s="3"/>
      <c r="M1517" s="3"/>
      <c r="N1517" s="3"/>
    </row>
    <row r="1518" spans="3:14" x14ac:dyDescent="0.2">
      <c r="C1518" s="2"/>
      <c r="D1518" s="3"/>
      <c r="E1518" s="3"/>
      <c r="F1518" s="3"/>
      <c r="G1518" s="3"/>
      <c r="H1518" s="3"/>
      <c r="I1518" s="3"/>
      <c r="J1518" s="3"/>
      <c r="K1518" s="3"/>
      <c r="L1518" s="3"/>
      <c r="M1518" s="3"/>
      <c r="N1518" s="3"/>
    </row>
    <row r="1519" spans="3:14" x14ac:dyDescent="0.2">
      <c r="C1519" s="2"/>
      <c r="D1519" s="3"/>
      <c r="E1519" s="3"/>
      <c r="F1519" s="3"/>
      <c r="G1519" s="3"/>
      <c r="H1519" s="3"/>
      <c r="I1519" s="3"/>
      <c r="J1519" s="3"/>
      <c r="K1519" s="3"/>
      <c r="L1519" s="3"/>
      <c r="M1519" s="3"/>
      <c r="N1519" s="3"/>
    </row>
    <row r="1520" spans="3:14" x14ac:dyDescent="0.2">
      <c r="C1520" s="2"/>
      <c r="D1520" s="3"/>
      <c r="E1520" s="3"/>
      <c r="F1520" s="3"/>
      <c r="G1520" s="3"/>
      <c r="H1520" s="3"/>
      <c r="I1520" s="3"/>
      <c r="J1520" s="3"/>
      <c r="K1520" s="3"/>
      <c r="L1520" s="3"/>
      <c r="M1520" s="3"/>
      <c r="N1520" s="3"/>
    </row>
    <row r="1521" spans="3:14" x14ac:dyDescent="0.2">
      <c r="C1521" s="2"/>
      <c r="D1521" s="3"/>
      <c r="E1521" s="3"/>
      <c r="F1521" s="3"/>
      <c r="G1521" s="3"/>
      <c r="H1521" s="3"/>
      <c r="I1521" s="3"/>
      <c r="J1521" s="3"/>
      <c r="K1521" s="3"/>
      <c r="L1521" s="3"/>
      <c r="M1521" s="3"/>
      <c r="N1521" s="3"/>
    </row>
    <row r="1522" spans="3:14" x14ac:dyDescent="0.2">
      <c r="C1522" s="2"/>
      <c r="D1522" s="3"/>
      <c r="E1522" s="3"/>
      <c r="F1522" s="3"/>
      <c r="G1522" s="3"/>
      <c r="H1522" s="3"/>
      <c r="I1522" s="3"/>
      <c r="J1522" s="3"/>
      <c r="K1522" s="3"/>
      <c r="L1522" s="3"/>
      <c r="M1522" s="3"/>
      <c r="N1522" s="3"/>
    </row>
    <row r="1523" spans="3:14" x14ac:dyDescent="0.2">
      <c r="C1523" s="2"/>
      <c r="D1523" s="3"/>
      <c r="E1523" s="3"/>
      <c r="F1523" s="3"/>
      <c r="G1523" s="3"/>
      <c r="H1523" s="3"/>
      <c r="I1523" s="3"/>
      <c r="J1523" s="3"/>
      <c r="K1523" s="3"/>
      <c r="L1523" s="3"/>
      <c r="M1523" s="3"/>
      <c r="N1523" s="3"/>
    </row>
    <row r="1524" spans="3:14" x14ac:dyDescent="0.2">
      <c r="C1524" s="2"/>
      <c r="D1524" s="3"/>
      <c r="E1524" s="3"/>
      <c r="F1524" s="3"/>
      <c r="G1524" s="3"/>
      <c r="H1524" s="3"/>
      <c r="I1524" s="3"/>
      <c r="J1524" s="3"/>
      <c r="K1524" s="3"/>
      <c r="L1524" s="3"/>
      <c r="M1524" s="3"/>
      <c r="N1524" s="3"/>
    </row>
    <row r="1525" spans="3:14" x14ac:dyDescent="0.2">
      <c r="C1525" s="2"/>
      <c r="D1525" s="3"/>
      <c r="E1525" s="3"/>
      <c r="F1525" s="3"/>
      <c r="G1525" s="3"/>
      <c r="H1525" s="3"/>
      <c r="I1525" s="3"/>
      <c r="J1525" s="3"/>
      <c r="K1525" s="3"/>
      <c r="L1525" s="3"/>
      <c r="M1525" s="3"/>
      <c r="N1525" s="3"/>
    </row>
    <row r="1526" spans="3:14" x14ac:dyDescent="0.2">
      <c r="C1526" s="2"/>
      <c r="D1526" s="3"/>
      <c r="E1526" s="3"/>
      <c r="F1526" s="3"/>
      <c r="G1526" s="3"/>
      <c r="H1526" s="3"/>
      <c r="I1526" s="3"/>
      <c r="J1526" s="3"/>
      <c r="K1526" s="3"/>
      <c r="L1526" s="3"/>
      <c r="M1526" s="3"/>
      <c r="N1526" s="3"/>
    </row>
    <row r="1527" spans="3:14" x14ac:dyDescent="0.2">
      <c r="C1527" s="2"/>
      <c r="D1527" s="3"/>
      <c r="E1527" s="3"/>
      <c r="F1527" s="3"/>
      <c r="G1527" s="3"/>
      <c r="H1527" s="3"/>
      <c r="I1527" s="3"/>
      <c r="J1527" s="3"/>
      <c r="K1527" s="3"/>
      <c r="L1527" s="3"/>
      <c r="M1527" s="3"/>
      <c r="N1527" s="3"/>
    </row>
    <row r="1528" spans="3:14" x14ac:dyDescent="0.2">
      <c r="C1528" s="2"/>
      <c r="D1528" s="3"/>
      <c r="E1528" s="3"/>
      <c r="F1528" s="3"/>
      <c r="G1528" s="3"/>
      <c r="H1528" s="3"/>
      <c r="I1528" s="3"/>
      <c r="J1528" s="3"/>
      <c r="K1528" s="3"/>
      <c r="L1528" s="3"/>
      <c r="M1528" s="3"/>
      <c r="N1528" s="3"/>
    </row>
    <row r="1529" spans="3:14" x14ac:dyDescent="0.2">
      <c r="C1529" s="2"/>
      <c r="D1529" s="3"/>
      <c r="E1529" s="3"/>
      <c r="F1529" s="3"/>
      <c r="G1529" s="3"/>
      <c r="H1529" s="3"/>
      <c r="I1529" s="3"/>
      <c r="J1529" s="3"/>
      <c r="K1529" s="3"/>
      <c r="L1529" s="3"/>
      <c r="M1529" s="3"/>
      <c r="N1529" s="3"/>
    </row>
    <row r="1530" spans="3:14" x14ac:dyDescent="0.2">
      <c r="C1530" s="2"/>
      <c r="D1530" s="3"/>
      <c r="E1530" s="3"/>
      <c r="F1530" s="3"/>
      <c r="G1530" s="3"/>
      <c r="H1530" s="3"/>
      <c r="I1530" s="3"/>
      <c r="J1530" s="3"/>
      <c r="K1530" s="3"/>
      <c r="L1530" s="3"/>
      <c r="M1530" s="3"/>
      <c r="N1530" s="3"/>
    </row>
    <row r="1531" spans="3:14" x14ac:dyDescent="0.2">
      <c r="C1531" s="2"/>
      <c r="D1531" s="3"/>
      <c r="E1531" s="3"/>
      <c r="F1531" s="3"/>
      <c r="G1531" s="3"/>
      <c r="H1531" s="3"/>
      <c r="I1531" s="3"/>
      <c r="J1531" s="3"/>
      <c r="K1531" s="3"/>
      <c r="L1531" s="3"/>
      <c r="M1531" s="3"/>
      <c r="N1531" s="3"/>
    </row>
    <row r="1532" spans="3:14" x14ac:dyDescent="0.2">
      <c r="C1532" s="2"/>
      <c r="D1532" s="3"/>
      <c r="E1532" s="3"/>
      <c r="F1532" s="3"/>
      <c r="G1532" s="3"/>
      <c r="H1532" s="3"/>
      <c r="I1532" s="3"/>
      <c r="J1532" s="3"/>
      <c r="K1532" s="3"/>
      <c r="L1532" s="3"/>
      <c r="M1532" s="3"/>
      <c r="N1532" s="3"/>
    </row>
    <row r="1533" spans="3:14" x14ac:dyDescent="0.2">
      <c r="C1533" s="2"/>
      <c r="D1533" s="3"/>
      <c r="E1533" s="3"/>
      <c r="F1533" s="3"/>
      <c r="G1533" s="3"/>
      <c r="H1533" s="3"/>
      <c r="I1533" s="3"/>
      <c r="J1533" s="3"/>
      <c r="K1533" s="3"/>
      <c r="L1533" s="3"/>
      <c r="M1533" s="3"/>
      <c r="N1533" s="3"/>
    </row>
    <row r="1534" spans="3:14" x14ac:dyDescent="0.2">
      <c r="C1534" s="2"/>
      <c r="D1534" s="3"/>
      <c r="E1534" s="3"/>
      <c r="F1534" s="3"/>
      <c r="G1534" s="3"/>
      <c r="H1534" s="3"/>
      <c r="I1534" s="3"/>
      <c r="J1534" s="3"/>
      <c r="K1534" s="3"/>
      <c r="L1534" s="3"/>
      <c r="M1534" s="3"/>
      <c r="N1534" s="3"/>
    </row>
    <row r="1535" spans="3:14" x14ac:dyDescent="0.2">
      <c r="C1535" s="2"/>
      <c r="D1535" s="3"/>
      <c r="E1535" s="3"/>
      <c r="F1535" s="3"/>
      <c r="G1535" s="3"/>
      <c r="H1535" s="3"/>
      <c r="I1535" s="3"/>
      <c r="J1535" s="3"/>
      <c r="K1535" s="3"/>
      <c r="L1535" s="3"/>
      <c r="M1535" s="3"/>
      <c r="N1535" s="3"/>
    </row>
    <row r="1536" spans="3:14" x14ac:dyDescent="0.2">
      <c r="C1536" s="2"/>
      <c r="D1536" s="3"/>
      <c r="E1536" s="3"/>
      <c r="F1536" s="3"/>
      <c r="G1536" s="3"/>
      <c r="H1536" s="3"/>
      <c r="I1536" s="3"/>
      <c r="J1536" s="3"/>
      <c r="K1536" s="3"/>
      <c r="L1536" s="3"/>
      <c r="M1536" s="3"/>
      <c r="N1536" s="3"/>
    </row>
    <row r="1537" spans="3:14" x14ac:dyDescent="0.2">
      <c r="C1537" s="2"/>
      <c r="D1537" s="3"/>
      <c r="E1537" s="3"/>
      <c r="F1537" s="3"/>
      <c r="G1537" s="3"/>
      <c r="H1537" s="3"/>
      <c r="I1537" s="3"/>
      <c r="J1537" s="3"/>
      <c r="K1537" s="3"/>
      <c r="L1537" s="3"/>
      <c r="M1537" s="3"/>
      <c r="N1537" s="3"/>
    </row>
    <row r="1538" spans="3:14" x14ac:dyDescent="0.2">
      <c r="C1538" s="2"/>
      <c r="D1538" s="3"/>
      <c r="E1538" s="3"/>
      <c r="F1538" s="3"/>
      <c r="G1538" s="3"/>
      <c r="H1538" s="3"/>
      <c r="I1538" s="3"/>
      <c r="J1538" s="3"/>
      <c r="K1538" s="3"/>
      <c r="L1538" s="3"/>
      <c r="M1538" s="3"/>
      <c r="N1538" s="3"/>
    </row>
    <row r="1539" spans="3:14" x14ac:dyDescent="0.2">
      <c r="C1539" s="2"/>
      <c r="D1539" s="3"/>
      <c r="E1539" s="3"/>
      <c r="F1539" s="3"/>
      <c r="G1539" s="3"/>
      <c r="H1539" s="3"/>
      <c r="I1539" s="3"/>
      <c r="J1539" s="3"/>
      <c r="K1539" s="3"/>
      <c r="L1539" s="3"/>
      <c r="M1539" s="3"/>
      <c r="N1539" s="3"/>
    </row>
    <row r="1540" spans="3:14" x14ac:dyDescent="0.2">
      <c r="C1540" s="2"/>
      <c r="D1540" s="3"/>
      <c r="E1540" s="3"/>
      <c r="F1540" s="3"/>
      <c r="G1540" s="3"/>
      <c r="H1540" s="3"/>
      <c r="I1540" s="3"/>
      <c r="J1540" s="3"/>
      <c r="K1540" s="3"/>
      <c r="L1540" s="3"/>
      <c r="M1540" s="3"/>
      <c r="N1540" s="3"/>
    </row>
    <row r="1541" spans="3:14" x14ac:dyDescent="0.2">
      <c r="C1541" s="2"/>
      <c r="D1541" s="3"/>
      <c r="E1541" s="3"/>
      <c r="F1541" s="3"/>
      <c r="G1541" s="3"/>
      <c r="H1541" s="3"/>
      <c r="I1541" s="3"/>
      <c r="J1541" s="3"/>
      <c r="K1541" s="3"/>
      <c r="L1541" s="3"/>
      <c r="M1541" s="3"/>
      <c r="N1541" s="3"/>
    </row>
    <row r="1542" spans="3:14" x14ac:dyDescent="0.2">
      <c r="C1542" s="2"/>
      <c r="D1542" s="3"/>
      <c r="E1542" s="3"/>
      <c r="F1542" s="3"/>
      <c r="G1542" s="3"/>
      <c r="H1542" s="3"/>
      <c r="I1542" s="3"/>
      <c r="J1542" s="3"/>
      <c r="K1542" s="3"/>
      <c r="L1542" s="3"/>
      <c r="M1542" s="3"/>
      <c r="N1542" s="3"/>
    </row>
    <row r="1543" spans="3:14" x14ac:dyDescent="0.2">
      <c r="C1543" s="2"/>
      <c r="D1543" s="3"/>
      <c r="E1543" s="3"/>
      <c r="F1543" s="3"/>
      <c r="G1543" s="3"/>
      <c r="H1543" s="3"/>
      <c r="I1543" s="3"/>
      <c r="J1543" s="3"/>
      <c r="K1543" s="3"/>
      <c r="L1543" s="3"/>
      <c r="M1543" s="3"/>
      <c r="N1543" s="3"/>
    </row>
    <row r="1544" spans="3:14" x14ac:dyDescent="0.2">
      <c r="C1544" s="2"/>
      <c r="D1544" s="3"/>
      <c r="E1544" s="3"/>
      <c r="F1544" s="3"/>
      <c r="G1544" s="3"/>
      <c r="H1544" s="3"/>
      <c r="I1544" s="3"/>
      <c r="J1544" s="3"/>
      <c r="K1544" s="3"/>
      <c r="L1544" s="3"/>
      <c r="M1544" s="3"/>
      <c r="N1544" s="3"/>
    </row>
    <row r="1545" spans="3:14" x14ac:dyDescent="0.2">
      <c r="C1545" s="2"/>
      <c r="D1545" s="3"/>
      <c r="E1545" s="3"/>
      <c r="F1545" s="3"/>
      <c r="G1545" s="3"/>
      <c r="H1545" s="3"/>
      <c r="I1545" s="3"/>
      <c r="J1545" s="3"/>
      <c r="K1545" s="3"/>
      <c r="L1545" s="3"/>
      <c r="M1545" s="3"/>
      <c r="N1545" s="3"/>
    </row>
    <row r="1546" spans="3:14" x14ac:dyDescent="0.2">
      <c r="C1546" s="2"/>
      <c r="D1546" s="3"/>
      <c r="E1546" s="3"/>
      <c r="F1546" s="3"/>
      <c r="G1546" s="3"/>
      <c r="H1546" s="3"/>
      <c r="I1546" s="3"/>
      <c r="J1546" s="3"/>
      <c r="K1546" s="3"/>
      <c r="L1546" s="3"/>
      <c r="M1546" s="3"/>
      <c r="N1546" s="3"/>
    </row>
    <row r="1547" spans="3:14" x14ac:dyDescent="0.2">
      <c r="C1547" s="2"/>
      <c r="D1547" s="3"/>
      <c r="E1547" s="3"/>
      <c r="F1547" s="3"/>
      <c r="G1547" s="3"/>
      <c r="H1547" s="3"/>
      <c r="I1547" s="3"/>
      <c r="J1547" s="3"/>
      <c r="K1547" s="3"/>
      <c r="L1547" s="3"/>
      <c r="M1547" s="3"/>
      <c r="N1547" s="3"/>
    </row>
    <row r="1548" spans="3:14" x14ac:dyDescent="0.2">
      <c r="C1548" s="2"/>
      <c r="D1548" s="3"/>
      <c r="E1548" s="3"/>
      <c r="F1548" s="3"/>
      <c r="G1548" s="3"/>
      <c r="H1548" s="3"/>
      <c r="I1548" s="3"/>
      <c r="J1548" s="3"/>
      <c r="K1548" s="3"/>
      <c r="L1548" s="3"/>
      <c r="M1548" s="3"/>
      <c r="N1548" s="3"/>
    </row>
    <row r="1549" spans="3:14" x14ac:dyDescent="0.2">
      <c r="C1549" s="2"/>
      <c r="D1549" s="3"/>
      <c r="E1549" s="3"/>
      <c r="F1549" s="3"/>
      <c r="G1549" s="3"/>
      <c r="H1549" s="3"/>
      <c r="I1549" s="3"/>
      <c r="J1549" s="3"/>
      <c r="K1549" s="3"/>
      <c r="L1549" s="3"/>
      <c r="M1549" s="3"/>
      <c r="N1549" s="3"/>
    </row>
    <row r="1550" spans="3:14" x14ac:dyDescent="0.2">
      <c r="C1550" s="2"/>
      <c r="D1550" s="3"/>
      <c r="E1550" s="3"/>
      <c r="F1550" s="3"/>
      <c r="G1550" s="3"/>
      <c r="H1550" s="3"/>
      <c r="I1550" s="3"/>
      <c r="J1550" s="3"/>
      <c r="K1550" s="3"/>
      <c r="L1550" s="3"/>
      <c r="M1550" s="3"/>
      <c r="N1550" s="3"/>
    </row>
    <row r="1551" spans="3:14" x14ac:dyDescent="0.2">
      <c r="C1551" s="2"/>
      <c r="D1551" s="3"/>
      <c r="E1551" s="3"/>
      <c r="F1551" s="3"/>
      <c r="G1551" s="3"/>
      <c r="H1551" s="3"/>
      <c r="I1551" s="3"/>
      <c r="J1551" s="3"/>
      <c r="K1551" s="3"/>
      <c r="L1551" s="3"/>
      <c r="M1551" s="3"/>
      <c r="N1551" s="3"/>
    </row>
    <row r="1552" spans="3:14" x14ac:dyDescent="0.2">
      <c r="C1552" s="2"/>
      <c r="D1552" s="3"/>
      <c r="E1552" s="3"/>
      <c r="F1552" s="3"/>
      <c r="G1552" s="3"/>
      <c r="H1552" s="3"/>
      <c r="I1552" s="3"/>
      <c r="J1552" s="3"/>
      <c r="K1552" s="3"/>
      <c r="L1552" s="3"/>
      <c r="M1552" s="3"/>
      <c r="N1552" s="3"/>
    </row>
    <row r="1553" spans="3:14" x14ac:dyDescent="0.2">
      <c r="C1553" s="2"/>
      <c r="D1553" s="3"/>
      <c r="E1553" s="3"/>
      <c r="F1553" s="3"/>
      <c r="G1553" s="3"/>
      <c r="H1553" s="3"/>
      <c r="I1553" s="3"/>
      <c r="J1553" s="3"/>
      <c r="K1553" s="3"/>
      <c r="L1553" s="3"/>
      <c r="M1553" s="3"/>
      <c r="N1553" s="3"/>
    </row>
    <row r="1554" spans="3:14" x14ac:dyDescent="0.2">
      <c r="C1554" s="2"/>
      <c r="D1554" s="3"/>
      <c r="E1554" s="3"/>
      <c r="F1554" s="3"/>
      <c r="G1554" s="3"/>
      <c r="H1554" s="3"/>
      <c r="I1554" s="3"/>
      <c r="J1554" s="3"/>
      <c r="K1554" s="3"/>
      <c r="L1554" s="3"/>
      <c r="M1554" s="3"/>
      <c r="N1554" s="3"/>
    </row>
    <row r="1555" spans="3:14" x14ac:dyDescent="0.2">
      <c r="C1555" s="2"/>
      <c r="D1555" s="3"/>
      <c r="E1555" s="3"/>
      <c r="F1555" s="3"/>
      <c r="G1555" s="3"/>
      <c r="H1555" s="3"/>
      <c r="I1555" s="3"/>
      <c r="J1555" s="3"/>
      <c r="K1555" s="3"/>
      <c r="L1555" s="3"/>
      <c r="M1555" s="3"/>
      <c r="N1555" s="3"/>
    </row>
    <row r="1556" spans="3:14" x14ac:dyDescent="0.2">
      <c r="C1556" s="2"/>
      <c r="D1556" s="3"/>
      <c r="E1556" s="3"/>
      <c r="F1556" s="3"/>
      <c r="G1556" s="3"/>
      <c r="H1556" s="3"/>
      <c r="I1556" s="3"/>
      <c r="J1556" s="3"/>
      <c r="K1556" s="3"/>
      <c r="L1556" s="3"/>
      <c r="M1556" s="3"/>
      <c r="N1556" s="3"/>
    </row>
    <row r="1557" spans="3:14" x14ac:dyDescent="0.2">
      <c r="C1557" s="2"/>
      <c r="D1557" s="3"/>
      <c r="E1557" s="3"/>
      <c r="F1557" s="3"/>
      <c r="G1557" s="3"/>
      <c r="H1557" s="3"/>
      <c r="I1557" s="3"/>
      <c r="J1557" s="3"/>
      <c r="K1557" s="3"/>
      <c r="L1557" s="3"/>
      <c r="M1557" s="3"/>
      <c r="N1557" s="3"/>
    </row>
    <row r="1558" spans="3:14" x14ac:dyDescent="0.2">
      <c r="C1558" s="2"/>
      <c r="D1558" s="3"/>
      <c r="E1558" s="3"/>
      <c r="F1558" s="3"/>
      <c r="G1558" s="3"/>
      <c r="H1558" s="3"/>
      <c r="I1558" s="3"/>
      <c r="J1558" s="3"/>
      <c r="K1558" s="3"/>
      <c r="L1558" s="3"/>
      <c r="M1558" s="3"/>
      <c r="N1558" s="3"/>
    </row>
    <row r="1559" spans="3:14" x14ac:dyDescent="0.2">
      <c r="C1559" s="2"/>
      <c r="D1559" s="3"/>
      <c r="E1559" s="3"/>
      <c r="F1559" s="3"/>
      <c r="G1559" s="3"/>
      <c r="H1559" s="3"/>
      <c r="I1559" s="3"/>
      <c r="J1559" s="3"/>
      <c r="K1559" s="3"/>
      <c r="L1559" s="3"/>
      <c r="M1559" s="3"/>
      <c r="N1559" s="3"/>
    </row>
    <row r="1560" spans="3:14" x14ac:dyDescent="0.2">
      <c r="C1560" s="2"/>
      <c r="D1560" s="3"/>
      <c r="E1560" s="3"/>
      <c r="F1560" s="3"/>
      <c r="G1560" s="3"/>
      <c r="H1560" s="3"/>
      <c r="I1560" s="3"/>
      <c r="J1560" s="3"/>
      <c r="K1560" s="3"/>
      <c r="L1560" s="3"/>
      <c r="M1560" s="3"/>
      <c r="N1560" s="3"/>
    </row>
    <row r="1561" spans="3:14" x14ac:dyDescent="0.2">
      <c r="C1561" s="2"/>
      <c r="D1561" s="3"/>
      <c r="E1561" s="3"/>
      <c r="F1561" s="3"/>
      <c r="G1561" s="3"/>
      <c r="H1561" s="3"/>
      <c r="I1561" s="3"/>
      <c r="J1561" s="3"/>
      <c r="K1561" s="3"/>
      <c r="L1561" s="3"/>
      <c r="M1561" s="3"/>
      <c r="N1561" s="3"/>
    </row>
    <row r="1562" spans="3:14" x14ac:dyDescent="0.2">
      <c r="C1562" s="2"/>
      <c r="D1562" s="3"/>
      <c r="E1562" s="3"/>
      <c r="F1562" s="3"/>
      <c r="G1562" s="3"/>
      <c r="H1562" s="3"/>
      <c r="I1562" s="3"/>
      <c r="J1562" s="3"/>
      <c r="K1562" s="3"/>
      <c r="L1562" s="3"/>
      <c r="M1562" s="3"/>
      <c r="N1562" s="3"/>
    </row>
    <row r="1563" spans="3:14" x14ac:dyDescent="0.2">
      <c r="C1563" s="2"/>
      <c r="D1563" s="3"/>
      <c r="E1563" s="3"/>
      <c r="F1563" s="3"/>
      <c r="G1563" s="3"/>
      <c r="H1563" s="3"/>
      <c r="I1563" s="3"/>
      <c r="J1563" s="3"/>
      <c r="K1563" s="3"/>
      <c r="L1563" s="3"/>
      <c r="M1563" s="3"/>
      <c r="N1563" s="3"/>
    </row>
    <row r="1564" spans="3:14" x14ac:dyDescent="0.2">
      <c r="C1564" s="2"/>
      <c r="D1564" s="3"/>
      <c r="E1564" s="3"/>
      <c r="F1564" s="3"/>
      <c r="G1564" s="3"/>
      <c r="H1564" s="3"/>
      <c r="I1564" s="3"/>
      <c r="J1564" s="3"/>
      <c r="K1564" s="3"/>
      <c r="L1564" s="3"/>
      <c r="M1564" s="3"/>
      <c r="N1564" s="3"/>
    </row>
    <row r="1565" spans="3:14" x14ac:dyDescent="0.2">
      <c r="C1565" s="2"/>
      <c r="D1565" s="3"/>
      <c r="E1565" s="3"/>
      <c r="F1565" s="3"/>
      <c r="G1565" s="3"/>
      <c r="H1565" s="3"/>
      <c r="I1565" s="3"/>
      <c r="J1565" s="3"/>
      <c r="K1565" s="3"/>
      <c r="L1565" s="3"/>
      <c r="M1565" s="3"/>
      <c r="N1565" s="3"/>
    </row>
    <row r="1566" spans="3:14" x14ac:dyDescent="0.2">
      <c r="C1566" s="2"/>
      <c r="D1566" s="3"/>
      <c r="E1566" s="3"/>
      <c r="F1566" s="3"/>
      <c r="G1566" s="3"/>
      <c r="H1566" s="3"/>
      <c r="I1566" s="3"/>
      <c r="J1566" s="3"/>
      <c r="K1566" s="3"/>
      <c r="L1566" s="3"/>
      <c r="M1566" s="3"/>
      <c r="N1566" s="3"/>
    </row>
    <row r="1567" spans="3:14" x14ac:dyDescent="0.2">
      <c r="C1567" s="2"/>
      <c r="D1567" s="3"/>
      <c r="E1567" s="3"/>
      <c r="F1567" s="3"/>
      <c r="G1567" s="3"/>
      <c r="H1567" s="3"/>
      <c r="I1567" s="3"/>
      <c r="J1567" s="3"/>
      <c r="K1567" s="3"/>
      <c r="L1567" s="3"/>
      <c r="M1567" s="3"/>
      <c r="N1567" s="3"/>
    </row>
    <row r="1568" spans="3:14" x14ac:dyDescent="0.2">
      <c r="C1568" s="2"/>
      <c r="D1568" s="3"/>
      <c r="E1568" s="3"/>
      <c r="F1568" s="3"/>
      <c r="G1568" s="3"/>
      <c r="H1568" s="3"/>
      <c r="I1568" s="3"/>
      <c r="J1568" s="3"/>
      <c r="K1568" s="3"/>
      <c r="L1568" s="3"/>
      <c r="M1568" s="3"/>
      <c r="N1568" s="3"/>
    </row>
    <row r="1569" spans="3:14" x14ac:dyDescent="0.2">
      <c r="C1569" s="2"/>
      <c r="D1569" s="3"/>
      <c r="E1569" s="3"/>
      <c r="F1569" s="3"/>
      <c r="G1569" s="3"/>
      <c r="H1569" s="3"/>
      <c r="I1569" s="3"/>
      <c r="J1569" s="3"/>
      <c r="K1569" s="3"/>
      <c r="L1569" s="3"/>
      <c r="M1569" s="3"/>
      <c r="N1569" s="3"/>
    </row>
    <row r="1570" spans="3:14" x14ac:dyDescent="0.2">
      <c r="C1570" s="2"/>
      <c r="D1570" s="3"/>
      <c r="E1570" s="3"/>
      <c r="F1570" s="3"/>
      <c r="G1570" s="3"/>
      <c r="H1570" s="3"/>
      <c r="I1570" s="3"/>
      <c r="J1570" s="3"/>
      <c r="K1570" s="3"/>
      <c r="L1570" s="3"/>
      <c r="M1570" s="3"/>
      <c r="N1570" s="3"/>
    </row>
    <row r="1571" spans="3:14" x14ac:dyDescent="0.2">
      <c r="C1571" s="2"/>
      <c r="D1571" s="3"/>
      <c r="E1571" s="3"/>
      <c r="F1571" s="3"/>
      <c r="G1571" s="3"/>
      <c r="H1571" s="3"/>
      <c r="I1571" s="3"/>
      <c r="J1571" s="3"/>
      <c r="K1571" s="3"/>
      <c r="L1571" s="3"/>
      <c r="M1571" s="3"/>
      <c r="N1571" s="3"/>
    </row>
    <row r="1572" spans="3:14" x14ac:dyDescent="0.2">
      <c r="C1572" s="2"/>
      <c r="D1572" s="3"/>
      <c r="E1572" s="3"/>
      <c r="F1572" s="3"/>
      <c r="G1572" s="3"/>
      <c r="H1572" s="3"/>
      <c r="I1572" s="3"/>
      <c r="J1572" s="3"/>
      <c r="K1572" s="3"/>
      <c r="L1572" s="3"/>
      <c r="M1572" s="3"/>
      <c r="N1572" s="3"/>
    </row>
    <row r="1573" spans="3:14" x14ac:dyDescent="0.2">
      <c r="C1573" s="2"/>
      <c r="D1573" s="3"/>
      <c r="E1573" s="3"/>
      <c r="F1573" s="3"/>
      <c r="G1573" s="3"/>
      <c r="H1573" s="3"/>
      <c r="I1573" s="3"/>
      <c r="J1573" s="3"/>
      <c r="K1573" s="3"/>
      <c r="L1573" s="3"/>
      <c r="M1573" s="3"/>
      <c r="N1573" s="3"/>
    </row>
    <row r="1574" spans="3:14" x14ac:dyDescent="0.2">
      <c r="C1574" s="2"/>
      <c r="D1574" s="3"/>
      <c r="E1574" s="3"/>
      <c r="F1574" s="3"/>
      <c r="G1574" s="3"/>
      <c r="H1574" s="3"/>
      <c r="I1574" s="3"/>
      <c r="J1574" s="3"/>
      <c r="K1574" s="3"/>
      <c r="L1574" s="3"/>
      <c r="M1574" s="3"/>
      <c r="N1574" s="3"/>
    </row>
    <row r="1575" spans="3:14" x14ac:dyDescent="0.2">
      <c r="C1575" s="2"/>
      <c r="D1575" s="3"/>
      <c r="E1575" s="3"/>
      <c r="F1575" s="3"/>
      <c r="G1575" s="3"/>
      <c r="H1575" s="3"/>
      <c r="I1575" s="3"/>
      <c r="J1575" s="3"/>
      <c r="K1575" s="3"/>
      <c r="L1575" s="3"/>
      <c r="M1575" s="3"/>
      <c r="N1575" s="3"/>
    </row>
    <row r="1576" spans="3:14" x14ac:dyDescent="0.2">
      <c r="C1576" s="2"/>
      <c r="D1576" s="3"/>
      <c r="E1576" s="3"/>
      <c r="F1576" s="3"/>
      <c r="G1576" s="3"/>
      <c r="H1576" s="3"/>
      <c r="I1576" s="3"/>
      <c r="J1576" s="3"/>
      <c r="K1576" s="3"/>
      <c r="L1576" s="3"/>
      <c r="M1576" s="3"/>
      <c r="N1576" s="3"/>
    </row>
    <row r="1577" spans="3:14" x14ac:dyDescent="0.2">
      <c r="C1577" s="2"/>
      <c r="D1577" s="3"/>
      <c r="E1577" s="3"/>
      <c r="F1577" s="3"/>
      <c r="G1577" s="3"/>
      <c r="H1577" s="3"/>
      <c r="I1577" s="3"/>
      <c r="J1577" s="3"/>
      <c r="K1577" s="3"/>
      <c r="L1577" s="3"/>
      <c r="M1577" s="3"/>
      <c r="N1577" s="3"/>
    </row>
    <row r="1578" spans="3:14" x14ac:dyDescent="0.2">
      <c r="C1578" s="2"/>
      <c r="D1578" s="3"/>
      <c r="E1578" s="3"/>
      <c r="F1578" s="3"/>
      <c r="G1578" s="3"/>
      <c r="H1578" s="3"/>
      <c r="I1578" s="3"/>
      <c r="J1578" s="3"/>
      <c r="K1578" s="3"/>
      <c r="L1578" s="3"/>
      <c r="M1578" s="3"/>
      <c r="N1578" s="3"/>
    </row>
    <row r="1579" spans="3:14" x14ac:dyDescent="0.2">
      <c r="C1579" s="2"/>
      <c r="D1579" s="3"/>
      <c r="E1579" s="3"/>
      <c r="F1579" s="3"/>
      <c r="G1579" s="3"/>
      <c r="H1579" s="3"/>
      <c r="I1579" s="3"/>
      <c r="J1579" s="3"/>
      <c r="K1579" s="3"/>
      <c r="L1579" s="3"/>
      <c r="M1579" s="3"/>
      <c r="N1579" s="3"/>
    </row>
    <row r="1580" spans="3:14" x14ac:dyDescent="0.2">
      <c r="C1580" s="2"/>
      <c r="D1580" s="3"/>
      <c r="E1580" s="3"/>
      <c r="F1580" s="3"/>
      <c r="G1580" s="3"/>
      <c r="H1580" s="3"/>
      <c r="I1580" s="3"/>
      <c r="J1580" s="3"/>
      <c r="K1580" s="3"/>
      <c r="L1580" s="3"/>
      <c r="M1580" s="3"/>
      <c r="N1580" s="3"/>
    </row>
    <row r="1581" spans="3:14" x14ac:dyDescent="0.2">
      <c r="C1581" s="2"/>
      <c r="D1581" s="3"/>
      <c r="E1581" s="3"/>
      <c r="F1581" s="3"/>
      <c r="G1581" s="3"/>
      <c r="H1581" s="3"/>
      <c r="I1581" s="3"/>
      <c r="J1581" s="3"/>
      <c r="K1581" s="3"/>
      <c r="L1581" s="3"/>
      <c r="M1581" s="3"/>
      <c r="N1581" s="3"/>
    </row>
    <row r="1582" spans="3:14" x14ac:dyDescent="0.2">
      <c r="C1582" s="2"/>
      <c r="D1582" s="3"/>
      <c r="E1582" s="3"/>
      <c r="F1582" s="3"/>
      <c r="G1582" s="3"/>
      <c r="H1582" s="3"/>
      <c r="I1582" s="3"/>
      <c r="J1582" s="3"/>
      <c r="K1582" s="3"/>
      <c r="L1582" s="3"/>
      <c r="M1582" s="3"/>
      <c r="N1582" s="3"/>
    </row>
    <row r="1583" spans="3:14" x14ac:dyDescent="0.2">
      <c r="C1583" s="2"/>
      <c r="D1583" s="3"/>
      <c r="E1583" s="3"/>
      <c r="F1583" s="3"/>
      <c r="G1583" s="3"/>
      <c r="H1583" s="3"/>
      <c r="I1583" s="3"/>
      <c r="J1583" s="3"/>
      <c r="K1583" s="3"/>
      <c r="L1583" s="3"/>
      <c r="M1583" s="3"/>
      <c r="N1583" s="3"/>
    </row>
    <row r="1584" spans="3:14" x14ac:dyDescent="0.2">
      <c r="C1584" s="2"/>
      <c r="D1584" s="3"/>
      <c r="E1584" s="3"/>
      <c r="F1584" s="3"/>
      <c r="G1584" s="3"/>
      <c r="H1584" s="3"/>
      <c r="I1584" s="3"/>
      <c r="J1584" s="3"/>
      <c r="K1584" s="3"/>
      <c r="L1584" s="3"/>
      <c r="M1584" s="3"/>
      <c r="N1584" s="3"/>
    </row>
    <row r="1585" spans="3:14" x14ac:dyDescent="0.2">
      <c r="C1585" s="2"/>
      <c r="D1585" s="3"/>
      <c r="E1585" s="3"/>
      <c r="F1585" s="3"/>
      <c r="G1585" s="3"/>
      <c r="H1585" s="3"/>
      <c r="I1585" s="3"/>
      <c r="J1585" s="3"/>
      <c r="K1585" s="3"/>
      <c r="L1585" s="3"/>
      <c r="M1585" s="3"/>
      <c r="N1585" s="3"/>
    </row>
    <row r="1586" spans="3:14" x14ac:dyDescent="0.2">
      <c r="C1586" s="2"/>
      <c r="D1586" s="3"/>
      <c r="E1586" s="3"/>
      <c r="F1586" s="3"/>
      <c r="G1586" s="3"/>
      <c r="H1586" s="3"/>
      <c r="I1586" s="3"/>
      <c r="J1586" s="3"/>
      <c r="K1586" s="3"/>
      <c r="L1586" s="3"/>
      <c r="M1586" s="3"/>
      <c r="N1586" s="3"/>
    </row>
    <row r="1587" spans="3:14" x14ac:dyDescent="0.2">
      <c r="C1587" s="2"/>
      <c r="D1587" s="3"/>
      <c r="E1587" s="3"/>
      <c r="F1587" s="3"/>
      <c r="G1587" s="3"/>
      <c r="H1587" s="3"/>
      <c r="I1587" s="3"/>
      <c r="J1587" s="3"/>
      <c r="K1587" s="3"/>
      <c r="L1587" s="3"/>
      <c r="M1587" s="3"/>
      <c r="N1587" s="3"/>
    </row>
    <row r="1588" spans="3:14" x14ac:dyDescent="0.2">
      <c r="C1588" s="2"/>
      <c r="D1588" s="3"/>
      <c r="E1588" s="3"/>
      <c r="F1588" s="3"/>
      <c r="G1588" s="3"/>
      <c r="H1588" s="3"/>
      <c r="I1588" s="3"/>
      <c r="J1588" s="3"/>
      <c r="K1588" s="3"/>
      <c r="L1588" s="3"/>
      <c r="M1588" s="3"/>
      <c r="N1588" s="3"/>
    </row>
    <row r="1589" spans="3:14" x14ac:dyDescent="0.2">
      <c r="C1589" s="2"/>
      <c r="D1589" s="3"/>
      <c r="E1589" s="3"/>
      <c r="F1589" s="3"/>
      <c r="G1589" s="3"/>
      <c r="H1589" s="3"/>
      <c r="I1589" s="3"/>
      <c r="J1589" s="3"/>
      <c r="K1589" s="3"/>
      <c r="L1589" s="3"/>
      <c r="M1589" s="3"/>
      <c r="N1589" s="3"/>
    </row>
    <row r="1590" spans="3:14" x14ac:dyDescent="0.2">
      <c r="C1590" s="2"/>
      <c r="D1590" s="3"/>
      <c r="E1590" s="3"/>
      <c r="F1590" s="3"/>
      <c r="G1590" s="3"/>
      <c r="H1590" s="3"/>
      <c r="I1590" s="3"/>
      <c r="J1590" s="3"/>
      <c r="K1590" s="3"/>
      <c r="L1590" s="3"/>
      <c r="M1590" s="3"/>
      <c r="N1590" s="3"/>
    </row>
    <row r="1591" spans="3:14" x14ac:dyDescent="0.2">
      <c r="C1591" s="2"/>
      <c r="D1591" s="3"/>
      <c r="E1591" s="3"/>
      <c r="F1591" s="3"/>
      <c r="G1591" s="3"/>
      <c r="H1591" s="3"/>
      <c r="I1591" s="3"/>
      <c r="J1591" s="3"/>
      <c r="K1591" s="3"/>
      <c r="L1591" s="3"/>
      <c r="M1591" s="3"/>
      <c r="N1591" s="3"/>
    </row>
    <row r="1592" spans="3:14" x14ac:dyDescent="0.2">
      <c r="C1592" s="2"/>
      <c r="D1592" s="3"/>
      <c r="E1592" s="3"/>
      <c r="F1592" s="3"/>
      <c r="G1592" s="3"/>
      <c r="H1592" s="3"/>
      <c r="I1592" s="3"/>
      <c r="J1592" s="3"/>
      <c r="K1592" s="3"/>
      <c r="L1592" s="3"/>
      <c r="M1592" s="3"/>
      <c r="N1592" s="3"/>
    </row>
    <row r="1593" spans="3:14" x14ac:dyDescent="0.2">
      <c r="C1593" s="2"/>
      <c r="D1593" s="3"/>
      <c r="E1593" s="3"/>
      <c r="F1593" s="3"/>
      <c r="G1593" s="3"/>
      <c r="H1593" s="3"/>
      <c r="I1593" s="3"/>
      <c r="J1593" s="3"/>
      <c r="K1593" s="3"/>
      <c r="L1593" s="3"/>
      <c r="M1593" s="3"/>
      <c r="N1593" s="3"/>
    </row>
    <row r="1594" spans="3:14" x14ac:dyDescent="0.2">
      <c r="C1594" s="2"/>
      <c r="D1594" s="3"/>
      <c r="E1594" s="3"/>
      <c r="F1594" s="3"/>
      <c r="G1594" s="3"/>
      <c r="H1594" s="3"/>
      <c r="I1594" s="3"/>
      <c r="J1594" s="3"/>
      <c r="K1594" s="3"/>
      <c r="L1594" s="3"/>
      <c r="M1594" s="3"/>
      <c r="N1594" s="3"/>
    </row>
    <row r="1595" spans="3:14" x14ac:dyDescent="0.2">
      <c r="C1595" s="2"/>
      <c r="D1595" s="3"/>
      <c r="E1595" s="3"/>
      <c r="F1595" s="3"/>
      <c r="G1595" s="3"/>
      <c r="H1595" s="3"/>
      <c r="I1595" s="3"/>
      <c r="J1595" s="3"/>
      <c r="K1595" s="3"/>
      <c r="L1595" s="3"/>
      <c r="M1595" s="3"/>
      <c r="N1595" s="3"/>
    </row>
    <row r="1596" spans="3:14" x14ac:dyDescent="0.2">
      <c r="C1596" s="2"/>
      <c r="D1596" s="3"/>
      <c r="E1596" s="3"/>
      <c r="F1596" s="3"/>
      <c r="G1596" s="3"/>
      <c r="H1596" s="3"/>
      <c r="I1596" s="3"/>
      <c r="J1596" s="3"/>
      <c r="K1596" s="3"/>
      <c r="L1596" s="3"/>
      <c r="M1596" s="3"/>
      <c r="N1596" s="3"/>
    </row>
    <row r="1597" spans="3:14" x14ac:dyDescent="0.2">
      <c r="C1597" s="2"/>
      <c r="D1597" s="3"/>
      <c r="E1597" s="3"/>
      <c r="F1597" s="3"/>
      <c r="G1597" s="3"/>
      <c r="H1597" s="3"/>
      <c r="I1597" s="3"/>
      <c r="J1597" s="3"/>
      <c r="K1597" s="3"/>
      <c r="L1597" s="3"/>
      <c r="M1597" s="3"/>
      <c r="N1597" s="3"/>
    </row>
    <row r="1598" spans="3:14" x14ac:dyDescent="0.2">
      <c r="C1598" s="2"/>
      <c r="D1598" s="3"/>
      <c r="E1598" s="3"/>
      <c r="F1598" s="3"/>
      <c r="G1598" s="3"/>
      <c r="H1598" s="3"/>
      <c r="I1598" s="3"/>
      <c r="J1598" s="3"/>
      <c r="K1598" s="3"/>
      <c r="L1598" s="3"/>
      <c r="M1598" s="3"/>
      <c r="N1598" s="3"/>
    </row>
    <row r="1599" spans="3:14" x14ac:dyDescent="0.2">
      <c r="C1599" s="2"/>
      <c r="D1599" s="3"/>
      <c r="E1599" s="3"/>
      <c r="F1599" s="3"/>
      <c r="G1599" s="3"/>
      <c r="H1599" s="3"/>
      <c r="I1599" s="3"/>
      <c r="J1599" s="3"/>
      <c r="K1599" s="3"/>
      <c r="L1599" s="3"/>
      <c r="M1599" s="3"/>
      <c r="N1599" s="3"/>
    </row>
    <row r="1600" spans="3:14" x14ac:dyDescent="0.2">
      <c r="C1600" s="2"/>
      <c r="D1600" s="3"/>
      <c r="E1600" s="3"/>
      <c r="F1600" s="3"/>
      <c r="G1600" s="3"/>
      <c r="H1600" s="3"/>
      <c r="I1600" s="3"/>
      <c r="J1600" s="3"/>
      <c r="K1600" s="3"/>
      <c r="L1600" s="3"/>
      <c r="M1600" s="3"/>
      <c r="N1600" s="3"/>
    </row>
    <row r="1601" spans="3:14" x14ac:dyDescent="0.2">
      <c r="C1601" s="2"/>
      <c r="D1601" s="3"/>
      <c r="E1601" s="3"/>
      <c r="F1601" s="3"/>
      <c r="G1601" s="3"/>
      <c r="H1601" s="3"/>
      <c r="I1601" s="3"/>
      <c r="J1601" s="3"/>
      <c r="K1601" s="3"/>
      <c r="L1601" s="3"/>
      <c r="M1601" s="3"/>
      <c r="N1601" s="3"/>
    </row>
    <row r="1602" spans="3:14" x14ac:dyDescent="0.2">
      <c r="C1602" s="2"/>
      <c r="D1602" s="3"/>
      <c r="E1602" s="3"/>
      <c r="F1602" s="3"/>
      <c r="G1602" s="3"/>
      <c r="H1602" s="3"/>
      <c r="I1602" s="3"/>
      <c r="J1602" s="3"/>
      <c r="K1602" s="3"/>
      <c r="L1602" s="3"/>
      <c r="M1602" s="3"/>
      <c r="N1602" s="3"/>
    </row>
    <row r="1603" spans="3:14" x14ac:dyDescent="0.2">
      <c r="C1603" s="2"/>
      <c r="D1603" s="3"/>
      <c r="E1603" s="3"/>
      <c r="F1603" s="3"/>
      <c r="G1603" s="3"/>
      <c r="H1603" s="3"/>
      <c r="I1603" s="3"/>
      <c r="J1603" s="3"/>
      <c r="K1603" s="3"/>
      <c r="L1603" s="3"/>
      <c r="M1603" s="3"/>
      <c r="N1603" s="3"/>
    </row>
    <row r="1604" spans="3:14" x14ac:dyDescent="0.2">
      <c r="C1604" s="2"/>
      <c r="D1604" s="3"/>
      <c r="E1604" s="3"/>
      <c r="F1604" s="3"/>
      <c r="G1604" s="3"/>
      <c r="H1604" s="3"/>
      <c r="I1604" s="3"/>
      <c r="J1604" s="3"/>
      <c r="K1604" s="3"/>
      <c r="L1604" s="3"/>
      <c r="M1604" s="3"/>
      <c r="N1604" s="3"/>
    </row>
    <row r="1605" spans="3:14" x14ac:dyDescent="0.2">
      <c r="C1605" s="2"/>
      <c r="D1605" s="3"/>
      <c r="E1605" s="3"/>
      <c r="F1605" s="3"/>
      <c r="G1605" s="3"/>
      <c r="H1605" s="3"/>
      <c r="I1605" s="3"/>
      <c r="J1605" s="3"/>
      <c r="K1605" s="3"/>
      <c r="L1605" s="3"/>
      <c r="M1605" s="3"/>
      <c r="N1605" s="3"/>
    </row>
    <row r="1606" spans="3:14" x14ac:dyDescent="0.2">
      <c r="C1606" s="2"/>
      <c r="D1606" s="3"/>
      <c r="E1606" s="3"/>
      <c r="F1606" s="3"/>
      <c r="G1606" s="3"/>
      <c r="H1606" s="3"/>
      <c r="I1606" s="3"/>
      <c r="J1606" s="3"/>
      <c r="K1606" s="3"/>
      <c r="L1606" s="3"/>
      <c r="M1606" s="3"/>
      <c r="N1606" s="3"/>
    </row>
    <row r="1607" spans="3:14" x14ac:dyDescent="0.2">
      <c r="C1607" s="2"/>
      <c r="D1607" s="3"/>
      <c r="E1607" s="3"/>
      <c r="F1607" s="3"/>
      <c r="G1607" s="3"/>
      <c r="H1607" s="3"/>
      <c r="I1607" s="3"/>
      <c r="J1607" s="3"/>
      <c r="K1607" s="3"/>
      <c r="L1607" s="3"/>
      <c r="M1607" s="3"/>
      <c r="N1607" s="3"/>
    </row>
    <row r="1608" spans="3:14" x14ac:dyDescent="0.2">
      <c r="C1608" s="2"/>
      <c r="D1608" s="3"/>
      <c r="E1608" s="3"/>
      <c r="F1608" s="3"/>
      <c r="G1608" s="3"/>
      <c r="H1608" s="3"/>
      <c r="I1608" s="3"/>
      <c r="J1608" s="3"/>
      <c r="K1608" s="3"/>
      <c r="L1608" s="3"/>
      <c r="M1608" s="3"/>
      <c r="N1608" s="3"/>
    </row>
    <row r="1609" spans="3:14" x14ac:dyDescent="0.2">
      <c r="C1609" s="2"/>
      <c r="D1609" s="3"/>
      <c r="E1609" s="3"/>
      <c r="F1609" s="3"/>
      <c r="G1609" s="3"/>
      <c r="H1609" s="3"/>
      <c r="I1609" s="3"/>
      <c r="J1609" s="3"/>
      <c r="K1609" s="3"/>
      <c r="L1609" s="3"/>
      <c r="M1609" s="3"/>
      <c r="N1609" s="3"/>
    </row>
    <row r="1610" spans="3:14" x14ac:dyDescent="0.2">
      <c r="C1610" s="2"/>
      <c r="D1610" s="3"/>
      <c r="E1610" s="3"/>
      <c r="F1610" s="3"/>
      <c r="G1610" s="3"/>
      <c r="H1610" s="3"/>
      <c r="I1610" s="3"/>
      <c r="J1610" s="3"/>
      <c r="K1610" s="3"/>
      <c r="L1610" s="3"/>
      <c r="M1610" s="3"/>
      <c r="N1610" s="3"/>
    </row>
    <row r="1611" spans="3:14" x14ac:dyDescent="0.2">
      <c r="C1611" s="2"/>
      <c r="D1611" s="3"/>
      <c r="E1611" s="3"/>
      <c r="F1611" s="3"/>
      <c r="G1611" s="3"/>
      <c r="H1611" s="3"/>
      <c r="I1611" s="3"/>
      <c r="J1611" s="3"/>
      <c r="K1611" s="3"/>
      <c r="L1611" s="3"/>
      <c r="M1611" s="3"/>
      <c r="N1611" s="3"/>
    </row>
    <row r="1612" spans="3:14" x14ac:dyDescent="0.2">
      <c r="C1612" s="2"/>
      <c r="D1612" s="3"/>
      <c r="E1612" s="3"/>
      <c r="F1612" s="3"/>
      <c r="G1612" s="3"/>
      <c r="H1612" s="3"/>
      <c r="I1612" s="3"/>
      <c r="J1612" s="3"/>
      <c r="K1612" s="3"/>
      <c r="L1612" s="3"/>
      <c r="M1612" s="3"/>
      <c r="N1612" s="3"/>
    </row>
    <row r="1613" spans="3:14" x14ac:dyDescent="0.2">
      <c r="C1613" s="2"/>
      <c r="D1613" s="3"/>
      <c r="E1613" s="3"/>
      <c r="F1613" s="3"/>
      <c r="G1613" s="3"/>
      <c r="H1613" s="3"/>
      <c r="I1613" s="3"/>
      <c r="J1613" s="3"/>
      <c r="K1613" s="3"/>
      <c r="L1613" s="3"/>
      <c r="M1613" s="3"/>
      <c r="N1613" s="3"/>
    </row>
    <row r="1614" spans="3:14" x14ac:dyDescent="0.2">
      <c r="C1614" s="2"/>
      <c r="D1614" s="3"/>
      <c r="E1614" s="3"/>
      <c r="F1614" s="3"/>
      <c r="G1614" s="3"/>
      <c r="H1614" s="3"/>
      <c r="I1614" s="3"/>
      <c r="J1614" s="3"/>
      <c r="K1614" s="3"/>
      <c r="L1614" s="3"/>
      <c r="M1614" s="3"/>
      <c r="N1614" s="3"/>
    </row>
    <row r="1615" spans="3:14" x14ac:dyDescent="0.2">
      <c r="C1615" s="2"/>
      <c r="D1615" s="3"/>
      <c r="E1615" s="3"/>
      <c r="F1615" s="3"/>
      <c r="G1615" s="3"/>
      <c r="H1615" s="3"/>
      <c r="I1615" s="3"/>
      <c r="J1615" s="3"/>
      <c r="K1615" s="3"/>
      <c r="L1615" s="3"/>
      <c r="M1615" s="3"/>
      <c r="N1615" s="3"/>
    </row>
    <row r="1616" spans="3:14" x14ac:dyDescent="0.2">
      <c r="C1616" s="2"/>
      <c r="D1616" s="3"/>
      <c r="E1616" s="3"/>
      <c r="F1616" s="3"/>
      <c r="G1616" s="3"/>
      <c r="H1616" s="3"/>
      <c r="I1616" s="3"/>
      <c r="J1616" s="3"/>
      <c r="K1616" s="3"/>
      <c r="L1616" s="3"/>
      <c r="M1616" s="3"/>
      <c r="N1616" s="3"/>
    </row>
    <row r="1617" spans="3:14" x14ac:dyDescent="0.2">
      <c r="C1617" s="2"/>
      <c r="D1617" s="3"/>
      <c r="E1617" s="3"/>
      <c r="F1617" s="3"/>
      <c r="G1617" s="3"/>
      <c r="H1617" s="3"/>
      <c r="I1617" s="3"/>
      <c r="J1617" s="3"/>
      <c r="K1617" s="3"/>
      <c r="L1617" s="3"/>
      <c r="M1617" s="3"/>
      <c r="N1617" s="3"/>
    </row>
    <row r="1618" spans="3:14" x14ac:dyDescent="0.2">
      <c r="C1618" s="2"/>
      <c r="D1618" s="3"/>
      <c r="E1618" s="3"/>
      <c r="F1618" s="3"/>
      <c r="G1618" s="3"/>
      <c r="H1618" s="3"/>
      <c r="I1618" s="3"/>
      <c r="J1618" s="3"/>
      <c r="K1618" s="3"/>
      <c r="L1618" s="3"/>
      <c r="M1618" s="3"/>
      <c r="N1618" s="3"/>
    </row>
    <row r="1619" spans="3:14" x14ac:dyDescent="0.2">
      <c r="C1619" s="2"/>
      <c r="D1619" s="3"/>
      <c r="E1619" s="3"/>
      <c r="F1619" s="3"/>
      <c r="G1619" s="3"/>
      <c r="H1619" s="3"/>
      <c r="I1619" s="3"/>
      <c r="J1619" s="3"/>
      <c r="K1619" s="3"/>
      <c r="L1619" s="3"/>
      <c r="M1619" s="3"/>
      <c r="N1619" s="3"/>
    </row>
    <row r="1620" spans="3:14" x14ac:dyDescent="0.2">
      <c r="C1620" s="2"/>
      <c r="D1620" s="3"/>
      <c r="E1620" s="3"/>
      <c r="F1620" s="3"/>
      <c r="G1620" s="3"/>
      <c r="H1620" s="3"/>
      <c r="I1620" s="3"/>
      <c r="J1620" s="3"/>
      <c r="K1620" s="3"/>
      <c r="L1620" s="3"/>
      <c r="M1620" s="3"/>
      <c r="N1620" s="3"/>
    </row>
    <row r="1621" spans="3:14" x14ac:dyDescent="0.2">
      <c r="C1621" s="2"/>
      <c r="D1621" s="3"/>
      <c r="E1621" s="3"/>
      <c r="F1621" s="3"/>
      <c r="G1621" s="3"/>
      <c r="H1621" s="3"/>
      <c r="I1621" s="3"/>
      <c r="J1621" s="3"/>
      <c r="K1621" s="3"/>
      <c r="L1621" s="3"/>
      <c r="M1621" s="3"/>
      <c r="N1621" s="3"/>
    </row>
    <row r="1622" spans="3:14" x14ac:dyDescent="0.2">
      <c r="C1622" s="2"/>
      <c r="D1622" s="3"/>
      <c r="E1622" s="3"/>
      <c r="F1622" s="3"/>
      <c r="G1622" s="3"/>
      <c r="H1622" s="3"/>
      <c r="I1622" s="3"/>
      <c r="J1622" s="3"/>
      <c r="K1622" s="3"/>
      <c r="L1622" s="3"/>
      <c r="M1622" s="3"/>
      <c r="N1622" s="3"/>
    </row>
    <row r="1623" spans="3:14" x14ac:dyDescent="0.2">
      <c r="C1623" s="2"/>
      <c r="D1623" s="3"/>
      <c r="E1623" s="3"/>
      <c r="F1623" s="3"/>
      <c r="G1623" s="3"/>
      <c r="H1623" s="3"/>
      <c r="I1623" s="3"/>
      <c r="J1623" s="3"/>
      <c r="K1623" s="3"/>
      <c r="L1623" s="3"/>
      <c r="M1623" s="3"/>
      <c r="N1623" s="3"/>
    </row>
    <row r="1624" spans="3:14" x14ac:dyDescent="0.2">
      <c r="C1624" s="2"/>
      <c r="D1624" s="3"/>
      <c r="E1624" s="3"/>
      <c r="F1624" s="3"/>
      <c r="G1624" s="3"/>
      <c r="H1624" s="3"/>
      <c r="I1624" s="3"/>
      <c r="J1624" s="3"/>
      <c r="K1624" s="3"/>
      <c r="L1624" s="3"/>
      <c r="M1624" s="3"/>
      <c r="N1624" s="3"/>
    </row>
    <row r="1625" spans="3:14" x14ac:dyDescent="0.2">
      <c r="C1625" s="2"/>
      <c r="D1625" s="3"/>
      <c r="E1625" s="3"/>
      <c r="F1625" s="3"/>
      <c r="G1625" s="3"/>
      <c r="H1625" s="3"/>
      <c r="I1625" s="3"/>
      <c r="J1625" s="3"/>
      <c r="K1625" s="3"/>
      <c r="L1625" s="3"/>
      <c r="M1625" s="3"/>
      <c r="N1625" s="3"/>
    </row>
    <row r="1626" spans="3:14" x14ac:dyDescent="0.2">
      <c r="C1626" s="2"/>
      <c r="D1626" s="3"/>
      <c r="E1626" s="3"/>
      <c r="F1626" s="3"/>
      <c r="G1626" s="3"/>
      <c r="H1626" s="3"/>
      <c r="I1626" s="3"/>
      <c r="J1626" s="3"/>
      <c r="K1626" s="3"/>
      <c r="L1626" s="3"/>
      <c r="M1626" s="3"/>
      <c r="N1626" s="3"/>
    </row>
    <row r="1627" spans="3:14" x14ac:dyDescent="0.2">
      <c r="C1627" s="2"/>
      <c r="D1627" s="3"/>
      <c r="E1627" s="3"/>
      <c r="F1627" s="3"/>
      <c r="G1627" s="3"/>
      <c r="H1627" s="3"/>
      <c r="I1627" s="3"/>
      <c r="J1627" s="3"/>
      <c r="K1627" s="3"/>
      <c r="L1627" s="3"/>
      <c r="M1627" s="3"/>
      <c r="N1627" s="3"/>
    </row>
    <row r="1628" spans="3:14" x14ac:dyDescent="0.2">
      <c r="C1628" s="2"/>
      <c r="D1628" s="3"/>
      <c r="E1628" s="3"/>
      <c r="F1628" s="3"/>
      <c r="G1628" s="3"/>
      <c r="H1628" s="3"/>
      <c r="I1628" s="3"/>
      <c r="J1628" s="3"/>
      <c r="K1628" s="3"/>
      <c r="L1628" s="3"/>
      <c r="M1628" s="3"/>
      <c r="N1628" s="3"/>
    </row>
    <row r="1629" spans="3:14" x14ac:dyDescent="0.2">
      <c r="C1629" s="2"/>
      <c r="D1629" s="3"/>
      <c r="E1629" s="3"/>
      <c r="F1629" s="3"/>
      <c r="G1629" s="3"/>
      <c r="H1629" s="3"/>
      <c r="I1629" s="3"/>
      <c r="J1629" s="3"/>
      <c r="K1629" s="3"/>
      <c r="L1629" s="3"/>
      <c r="M1629" s="3"/>
      <c r="N1629" s="3"/>
    </row>
    <row r="1630" spans="3:14" x14ac:dyDescent="0.2">
      <c r="C1630" s="2"/>
      <c r="D1630" s="3"/>
      <c r="E1630" s="3"/>
      <c r="F1630" s="3"/>
      <c r="G1630" s="3"/>
      <c r="H1630" s="3"/>
      <c r="I1630" s="3"/>
      <c r="J1630" s="3"/>
      <c r="K1630" s="3"/>
      <c r="L1630" s="3"/>
      <c r="M1630" s="3"/>
      <c r="N1630" s="3"/>
    </row>
    <row r="1631" spans="3:14" x14ac:dyDescent="0.2">
      <c r="C1631" s="2"/>
      <c r="D1631" s="3"/>
      <c r="E1631" s="3"/>
      <c r="F1631" s="3"/>
      <c r="G1631" s="3"/>
      <c r="H1631" s="3"/>
      <c r="I1631" s="3"/>
      <c r="J1631" s="3"/>
      <c r="K1631" s="3"/>
      <c r="L1631" s="3"/>
      <c r="M1631" s="3"/>
      <c r="N1631" s="3"/>
    </row>
    <row r="1632" spans="3:14" x14ac:dyDescent="0.2">
      <c r="C1632" s="2"/>
      <c r="D1632" s="3"/>
      <c r="E1632" s="3"/>
      <c r="F1632" s="3"/>
      <c r="G1632" s="3"/>
      <c r="H1632" s="3"/>
      <c r="I1632" s="3"/>
      <c r="J1632" s="3"/>
      <c r="K1632" s="3"/>
      <c r="L1632" s="3"/>
      <c r="M1632" s="3"/>
      <c r="N1632" s="3"/>
    </row>
    <row r="1633" spans="3:14" x14ac:dyDescent="0.2">
      <c r="C1633" s="2"/>
      <c r="D1633" s="3"/>
      <c r="E1633" s="3"/>
      <c r="F1633" s="3"/>
      <c r="G1633" s="3"/>
      <c r="H1633" s="3"/>
      <c r="I1633" s="3"/>
      <c r="J1633" s="3"/>
      <c r="K1633" s="3"/>
      <c r="L1633" s="3"/>
      <c r="M1633" s="3"/>
      <c r="N1633" s="3"/>
    </row>
    <row r="1634" spans="3:14" x14ac:dyDescent="0.2">
      <c r="C1634" s="2"/>
      <c r="D1634" s="3"/>
      <c r="E1634" s="3"/>
      <c r="F1634" s="3"/>
      <c r="G1634" s="3"/>
      <c r="H1634" s="3"/>
      <c r="I1634" s="3"/>
      <c r="J1634" s="3"/>
      <c r="K1634" s="3"/>
      <c r="L1634" s="3"/>
      <c r="M1634" s="3"/>
      <c r="N1634" s="3"/>
    </row>
    <row r="1635" spans="3:14" x14ac:dyDescent="0.2">
      <c r="C1635" s="2"/>
      <c r="D1635" s="3"/>
      <c r="E1635" s="3"/>
      <c r="F1635" s="3"/>
      <c r="G1635" s="3"/>
      <c r="H1635" s="3"/>
      <c r="I1635" s="3"/>
      <c r="J1635" s="3"/>
      <c r="K1635" s="3"/>
      <c r="L1635" s="3"/>
      <c r="M1635" s="3"/>
      <c r="N1635" s="3"/>
    </row>
    <row r="1636" spans="3:14" x14ac:dyDescent="0.2">
      <c r="C1636" s="2"/>
      <c r="D1636" s="3"/>
      <c r="E1636" s="3"/>
      <c r="F1636" s="3"/>
      <c r="G1636" s="3"/>
      <c r="H1636" s="3"/>
      <c r="I1636" s="3"/>
      <c r="J1636" s="3"/>
      <c r="K1636" s="3"/>
      <c r="L1636" s="3"/>
      <c r="M1636" s="3"/>
      <c r="N1636" s="3"/>
    </row>
    <row r="1637" spans="3:14" x14ac:dyDescent="0.2">
      <c r="C1637" s="2"/>
      <c r="D1637" s="3"/>
      <c r="E1637" s="3"/>
      <c r="F1637" s="3"/>
      <c r="G1637" s="3"/>
      <c r="H1637" s="3"/>
      <c r="I1637" s="3"/>
      <c r="J1637" s="3"/>
      <c r="K1637" s="3"/>
      <c r="L1637" s="3"/>
      <c r="M1637" s="3"/>
      <c r="N1637" s="3"/>
    </row>
    <row r="1638" spans="3:14" x14ac:dyDescent="0.2">
      <c r="C1638" s="2"/>
      <c r="D1638" s="3"/>
      <c r="E1638" s="3"/>
      <c r="F1638" s="3"/>
      <c r="G1638" s="3"/>
      <c r="H1638" s="3"/>
      <c r="I1638" s="3"/>
      <c r="J1638" s="3"/>
      <c r="K1638" s="3"/>
      <c r="L1638" s="3"/>
      <c r="M1638" s="3"/>
      <c r="N1638" s="3"/>
    </row>
    <row r="1639" spans="3:14" x14ac:dyDescent="0.2">
      <c r="C1639" s="2"/>
      <c r="D1639" s="3"/>
      <c r="E1639" s="3"/>
      <c r="F1639" s="3"/>
      <c r="G1639" s="3"/>
      <c r="H1639" s="3"/>
      <c r="I1639" s="3"/>
      <c r="J1639" s="3"/>
      <c r="K1639" s="3"/>
      <c r="L1639" s="3"/>
      <c r="M1639" s="3"/>
      <c r="N1639" s="3"/>
    </row>
    <row r="1640" spans="3:14" x14ac:dyDescent="0.2">
      <c r="C1640" s="2"/>
      <c r="D1640" s="3"/>
      <c r="E1640" s="3"/>
      <c r="F1640" s="3"/>
      <c r="G1640" s="3"/>
      <c r="H1640" s="3"/>
      <c r="I1640" s="3"/>
      <c r="J1640" s="3"/>
      <c r="K1640" s="3"/>
      <c r="L1640" s="3"/>
      <c r="M1640" s="3"/>
      <c r="N1640" s="3"/>
    </row>
    <row r="1641" spans="3:14" x14ac:dyDescent="0.2">
      <c r="C1641" s="2"/>
      <c r="D1641" s="3"/>
      <c r="E1641" s="3"/>
      <c r="F1641" s="3"/>
      <c r="G1641" s="3"/>
      <c r="H1641" s="3"/>
      <c r="I1641" s="3"/>
      <c r="J1641" s="3"/>
      <c r="K1641" s="3"/>
      <c r="L1641" s="3"/>
      <c r="M1641" s="3"/>
      <c r="N1641" s="3"/>
    </row>
    <row r="1642" spans="3:14" x14ac:dyDescent="0.2">
      <c r="C1642" s="2"/>
      <c r="D1642" s="3"/>
      <c r="E1642" s="3"/>
      <c r="F1642" s="3"/>
      <c r="G1642" s="3"/>
      <c r="H1642" s="3"/>
      <c r="I1642" s="3"/>
      <c r="J1642" s="3"/>
      <c r="K1642" s="3"/>
      <c r="L1642" s="3"/>
      <c r="M1642" s="3"/>
      <c r="N1642" s="3"/>
    </row>
    <row r="1643" spans="3:14" x14ac:dyDescent="0.2">
      <c r="C1643" s="2"/>
      <c r="D1643" s="3"/>
      <c r="E1643" s="3"/>
      <c r="F1643" s="3"/>
      <c r="G1643" s="3"/>
      <c r="H1643" s="3"/>
      <c r="I1643" s="3"/>
      <c r="J1643" s="3"/>
      <c r="K1643" s="3"/>
      <c r="L1643" s="3"/>
      <c r="M1643" s="3"/>
      <c r="N1643" s="3"/>
    </row>
    <row r="1644" spans="3:14" x14ac:dyDescent="0.2">
      <c r="C1644" s="2"/>
      <c r="D1644" s="3"/>
      <c r="E1644" s="3"/>
      <c r="F1644" s="3"/>
      <c r="G1644" s="3"/>
      <c r="H1644" s="3"/>
      <c r="I1644" s="3"/>
      <c r="J1644" s="3"/>
      <c r="K1644" s="3"/>
      <c r="L1644" s="3"/>
      <c r="M1644" s="3"/>
      <c r="N1644" s="3"/>
    </row>
    <row r="1645" spans="3:14" x14ac:dyDescent="0.2">
      <c r="C1645" s="2"/>
      <c r="D1645" s="3"/>
      <c r="E1645" s="3"/>
      <c r="F1645" s="3"/>
      <c r="G1645" s="3"/>
      <c r="H1645" s="3"/>
      <c r="I1645" s="3"/>
      <c r="J1645" s="3"/>
      <c r="K1645" s="3"/>
      <c r="L1645" s="3"/>
      <c r="M1645" s="3"/>
      <c r="N1645" s="3"/>
    </row>
    <row r="1646" spans="3:14" x14ac:dyDescent="0.2">
      <c r="C1646" s="2"/>
      <c r="D1646" s="3"/>
      <c r="E1646" s="3"/>
      <c r="F1646" s="3"/>
      <c r="G1646" s="3"/>
      <c r="H1646" s="3"/>
      <c r="I1646" s="3"/>
      <c r="J1646" s="3"/>
      <c r="K1646" s="3"/>
      <c r="L1646" s="3"/>
      <c r="M1646" s="3"/>
      <c r="N1646" s="3"/>
    </row>
    <row r="1647" spans="3:14" x14ac:dyDescent="0.2">
      <c r="C1647" s="2"/>
      <c r="D1647" s="3"/>
      <c r="E1647" s="3"/>
      <c r="F1647" s="3"/>
      <c r="G1647" s="3"/>
      <c r="H1647" s="3"/>
      <c r="I1647" s="3"/>
      <c r="J1647" s="3"/>
      <c r="K1647" s="3"/>
      <c r="L1647" s="3"/>
      <c r="M1647" s="3"/>
      <c r="N1647" s="3"/>
    </row>
    <row r="1648" spans="3:14" x14ac:dyDescent="0.2">
      <c r="C1648" s="2"/>
      <c r="D1648" s="3"/>
      <c r="E1648" s="3"/>
      <c r="F1648" s="3"/>
      <c r="G1648" s="3"/>
      <c r="H1648" s="3"/>
      <c r="I1648" s="3"/>
      <c r="J1648" s="3"/>
      <c r="K1648" s="3"/>
      <c r="L1648" s="3"/>
      <c r="M1648" s="3"/>
      <c r="N1648" s="3"/>
    </row>
    <row r="1649" spans="3:14" x14ac:dyDescent="0.2">
      <c r="C1649" s="2"/>
      <c r="D1649" s="3"/>
      <c r="E1649" s="3"/>
      <c r="F1649" s="3"/>
      <c r="G1649" s="3"/>
      <c r="H1649" s="3"/>
      <c r="I1649" s="3"/>
      <c r="J1649" s="3"/>
      <c r="K1649" s="3"/>
      <c r="L1649" s="3"/>
      <c r="M1649" s="3"/>
      <c r="N1649" s="3"/>
    </row>
    <row r="1650" spans="3:14" x14ac:dyDescent="0.2">
      <c r="C1650" s="2"/>
      <c r="D1650" s="3"/>
      <c r="E1650" s="3"/>
      <c r="F1650" s="3"/>
      <c r="G1650" s="3"/>
      <c r="H1650" s="3"/>
      <c r="I1650" s="3"/>
      <c r="J1650" s="3"/>
      <c r="K1650" s="3"/>
      <c r="L1650" s="3"/>
      <c r="M1650" s="3"/>
      <c r="N1650" s="3"/>
    </row>
    <row r="1651" spans="3:14" x14ac:dyDescent="0.2">
      <c r="C1651" s="2"/>
      <c r="D1651" s="3"/>
      <c r="E1651" s="3"/>
      <c r="F1651" s="3"/>
      <c r="G1651" s="3"/>
      <c r="H1651" s="3"/>
      <c r="I1651" s="3"/>
      <c r="J1651" s="3"/>
      <c r="K1651" s="3"/>
      <c r="L1651" s="3"/>
      <c r="M1651" s="3"/>
      <c r="N1651" s="3"/>
    </row>
    <row r="1652" spans="3:14" x14ac:dyDescent="0.2">
      <c r="C1652" s="2"/>
      <c r="D1652" s="3"/>
      <c r="E1652" s="3"/>
      <c r="F1652" s="3"/>
      <c r="G1652" s="3"/>
      <c r="H1652" s="3"/>
      <c r="I1652" s="3"/>
      <c r="J1652" s="3"/>
      <c r="K1652" s="3"/>
      <c r="L1652" s="3"/>
      <c r="M1652" s="3"/>
      <c r="N1652" s="3"/>
    </row>
    <row r="1653" spans="3:14" x14ac:dyDescent="0.2">
      <c r="C1653" s="2"/>
      <c r="D1653" s="3"/>
      <c r="E1653" s="3"/>
      <c r="F1653" s="3"/>
      <c r="G1653" s="3"/>
      <c r="H1653" s="3"/>
      <c r="I1653" s="3"/>
      <c r="J1653" s="3"/>
      <c r="K1653" s="3"/>
      <c r="L1653" s="3"/>
      <c r="M1653" s="3"/>
      <c r="N1653" s="3"/>
    </row>
    <row r="1654" spans="3:14" x14ac:dyDescent="0.2">
      <c r="C1654" s="2"/>
      <c r="D1654" s="3"/>
      <c r="E1654" s="3"/>
      <c r="F1654" s="3"/>
      <c r="G1654" s="3"/>
      <c r="H1654" s="3"/>
      <c r="I1654" s="3"/>
      <c r="J1654" s="3"/>
      <c r="K1654" s="3"/>
      <c r="L1654" s="3"/>
      <c r="M1654" s="3"/>
      <c r="N1654" s="3"/>
    </row>
    <row r="1655" spans="3:14" x14ac:dyDescent="0.2">
      <c r="C1655" s="2"/>
      <c r="D1655" s="3"/>
      <c r="E1655" s="3"/>
      <c r="F1655" s="3"/>
      <c r="G1655" s="3"/>
      <c r="H1655" s="3"/>
      <c r="I1655" s="3"/>
      <c r="J1655" s="3"/>
      <c r="K1655" s="3"/>
      <c r="L1655" s="3"/>
      <c r="M1655" s="3"/>
      <c r="N1655" s="3"/>
    </row>
    <row r="1656" spans="3:14" x14ac:dyDescent="0.2">
      <c r="C1656" s="2"/>
      <c r="D1656" s="3"/>
      <c r="E1656" s="3"/>
      <c r="F1656" s="3"/>
      <c r="G1656" s="3"/>
      <c r="H1656" s="3"/>
      <c r="I1656" s="3"/>
      <c r="J1656" s="3"/>
      <c r="K1656" s="3"/>
      <c r="L1656" s="3"/>
      <c r="M1656" s="3"/>
      <c r="N1656" s="3"/>
    </row>
    <row r="1657" spans="3:14" x14ac:dyDescent="0.2">
      <c r="C1657" s="2"/>
      <c r="D1657" s="3"/>
      <c r="E1657" s="3"/>
      <c r="F1657" s="3"/>
      <c r="G1657" s="3"/>
      <c r="H1657" s="3"/>
      <c r="I1657" s="3"/>
      <c r="J1657" s="3"/>
      <c r="K1657" s="3"/>
      <c r="L1657" s="3"/>
      <c r="M1657" s="3"/>
      <c r="N1657" s="3"/>
    </row>
    <row r="1658" spans="3:14" x14ac:dyDescent="0.2">
      <c r="C1658" s="2"/>
      <c r="D1658" s="3"/>
      <c r="E1658" s="3"/>
      <c r="F1658" s="3"/>
      <c r="G1658" s="3"/>
      <c r="H1658" s="3"/>
      <c r="I1658" s="3"/>
      <c r="J1658" s="3"/>
      <c r="K1658" s="3"/>
      <c r="L1658" s="3"/>
      <c r="M1658" s="3"/>
      <c r="N1658" s="3"/>
    </row>
    <row r="1659" spans="3:14" x14ac:dyDescent="0.2">
      <c r="C1659" s="2"/>
      <c r="D1659" s="3"/>
      <c r="E1659" s="3"/>
      <c r="F1659" s="3"/>
      <c r="G1659" s="3"/>
      <c r="H1659" s="3"/>
      <c r="I1659" s="3"/>
      <c r="J1659" s="3"/>
      <c r="K1659" s="3"/>
      <c r="L1659" s="3"/>
      <c r="M1659" s="3"/>
      <c r="N1659" s="3"/>
    </row>
    <row r="1660" spans="3:14" x14ac:dyDescent="0.2">
      <c r="C1660" s="2"/>
      <c r="D1660" s="3"/>
      <c r="E1660" s="3"/>
      <c r="F1660" s="3"/>
      <c r="G1660" s="3"/>
      <c r="H1660" s="3"/>
      <c r="I1660" s="3"/>
      <c r="J1660" s="3"/>
      <c r="K1660" s="3"/>
      <c r="L1660" s="3"/>
      <c r="M1660" s="3"/>
      <c r="N1660" s="3"/>
    </row>
    <row r="1661" spans="3:14" x14ac:dyDescent="0.2">
      <c r="C1661" s="2"/>
      <c r="D1661" s="3"/>
      <c r="E1661" s="3"/>
      <c r="F1661" s="3"/>
      <c r="G1661" s="3"/>
      <c r="H1661" s="3"/>
      <c r="I1661" s="3"/>
      <c r="J1661" s="3"/>
      <c r="K1661" s="3"/>
      <c r="L1661" s="3"/>
      <c r="M1661" s="3"/>
      <c r="N1661" s="3"/>
    </row>
    <row r="1662" spans="3:14" x14ac:dyDescent="0.2">
      <c r="C1662" s="2"/>
      <c r="D1662" s="3"/>
      <c r="E1662" s="3"/>
      <c r="F1662" s="3"/>
      <c r="G1662" s="3"/>
      <c r="H1662" s="3"/>
      <c r="I1662" s="3"/>
      <c r="J1662" s="3"/>
      <c r="K1662" s="3"/>
      <c r="L1662" s="3"/>
      <c r="M1662" s="3"/>
      <c r="N1662" s="3"/>
    </row>
    <row r="1663" spans="3:14" x14ac:dyDescent="0.2">
      <c r="C1663" s="2"/>
      <c r="D1663" s="3"/>
      <c r="E1663" s="3"/>
      <c r="F1663" s="3"/>
      <c r="G1663" s="3"/>
      <c r="H1663" s="3"/>
      <c r="I1663" s="3"/>
      <c r="J1663" s="3"/>
      <c r="K1663" s="3"/>
      <c r="L1663" s="3"/>
      <c r="M1663" s="3"/>
      <c r="N1663" s="3"/>
    </row>
    <row r="1664" spans="3:14" x14ac:dyDescent="0.2">
      <c r="C1664" s="2"/>
      <c r="D1664" s="3"/>
      <c r="E1664" s="3"/>
      <c r="F1664" s="3"/>
      <c r="G1664" s="3"/>
      <c r="H1664" s="3"/>
      <c r="I1664" s="3"/>
      <c r="J1664" s="3"/>
      <c r="K1664" s="3"/>
      <c r="L1664" s="3"/>
      <c r="M1664" s="3"/>
      <c r="N1664" s="3"/>
    </row>
    <row r="1665" spans="3:14" x14ac:dyDescent="0.2">
      <c r="C1665" s="2"/>
      <c r="D1665" s="3"/>
      <c r="E1665" s="3"/>
      <c r="F1665" s="3"/>
      <c r="G1665" s="3"/>
      <c r="H1665" s="3"/>
      <c r="I1665" s="3"/>
      <c r="J1665" s="3"/>
      <c r="K1665" s="3"/>
      <c r="L1665" s="3"/>
      <c r="M1665" s="3"/>
      <c r="N1665" s="3"/>
    </row>
    <row r="1666" spans="3:14" x14ac:dyDescent="0.2">
      <c r="C1666" s="2"/>
      <c r="D1666" s="3"/>
      <c r="E1666" s="3"/>
      <c r="F1666" s="3"/>
      <c r="G1666" s="3"/>
      <c r="H1666" s="3"/>
      <c r="I1666" s="3"/>
      <c r="J1666" s="3"/>
      <c r="K1666" s="3"/>
      <c r="L1666" s="3"/>
      <c r="M1666" s="3"/>
      <c r="N1666" s="3"/>
    </row>
    <row r="1667" spans="3:14" x14ac:dyDescent="0.2">
      <c r="C1667" s="2"/>
      <c r="D1667" s="3"/>
      <c r="E1667" s="3"/>
      <c r="F1667" s="3"/>
      <c r="G1667" s="3"/>
      <c r="H1667" s="3"/>
      <c r="I1667" s="3"/>
      <c r="J1667" s="3"/>
      <c r="K1667" s="3"/>
      <c r="L1667" s="3"/>
      <c r="M1667" s="3"/>
      <c r="N1667" s="3"/>
    </row>
    <row r="1668" spans="3:14" x14ac:dyDescent="0.2">
      <c r="C1668" s="2"/>
      <c r="D1668" s="3"/>
      <c r="E1668" s="3"/>
      <c r="F1668" s="3"/>
      <c r="G1668" s="3"/>
      <c r="H1668" s="3"/>
      <c r="I1668" s="3"/>
      <c r="J1668" s="3"/>
      <c r="K1668" s="3"/>
      <c r="L1668" s="3"/>
      <c r="M1668" s="3"/>
      <c r="N1668" s="3"/>
    </row>
    <row r="1669" spans="3:14" x14ac:dyDescent="0.2">
      <c r="C1669" s="2"/>
      <c r="D1669" s="3"/>
      <c r="E1669" s="3"/>
      <c r="F1669" s="3"/>
      <c r="G1669" s="3"/>
      <c r="H1669" s="3"/>
      <c r="I1669" s="3"/>
      <c r="J1669" s="3"/>
      <c r="K1669" s="3"/>
      <c r="L1669" s="3"/>
      <c r="M1669" s="3"/>
      <c r="N1669" s="3"/>
    </row>
    <row r="1670" spans="3:14" x14ac:dyDescent="0.2">
      <c r="C1670" s="2"/>
      <c r="D1670" s="3"/>
      <c r="E1670" s="3"/>
      <c r="F1670" s="3"/>
      <c r="G1670" s="3"/>
      <c r="H1670" s="3"/>
      <c r="I1670" s="3"/>
      <c r="J1670" s="3"/>
      <c r="K1670" s="3"/>
      <c r="L1670" s="3"/>
      <c r="M1670" s="3"/>
      <c r="N1670" s="3"/>
    </row>
    <row r="1671" spans="3:14" x14ac:dyDescent="0.2">
      <c r="C1671" s="2"/>
      <c r="D1671" s="3"/>
      <c r="E1671" s="3"/>
      <c r="F1671" s="3"/>
      <c r="G1671" s="3"/>
      <c r="H1671" s="3"/>
      <c r="I1671" s="3"/>
      <c r="J1671" s="3"/>
      <c r="K1671" s="3"/>
      <c r="L1671" s="3"/>
      <c r="M1671" s="3"/>
      <c r="N1671" s="3"/>
    </row>
    <row r="1672" spans="3:14" x14ac:dyDescent="0.2">
      <c r="C1672" s="2"/>
      <c r="D1672" s="3"/>
      <c r="E1672" s="3"/>
      <c r="F1672" s="3"/>
      <c r="G1672" s="3"/>
      <c r="H1672" s="3"/>
      <c r="I1672" s="3"/>
      <c r="J1672" s="3"/>
      <c r="K1672" s="3"/>
      <c r="L1672" s="3"/>
      <c r="M1672" s="3"/>
      <c r="N1672" s="3"/>
    </row>
    <row r="1673" spans="3:14" x14ac:dyDescent="0.2">
      <c r="C1673" s="2"/>
      <c r="D1673" s="3"/>
      <c r="E1673" s="3"/>
      <c r="F1673" s="3"/>
      <c r="G1673" s="3"/>
      <c r="H1673" s="3"/>
      <c r="I1673" s="3"/>
      <c r="J1673" s="3"/>
      <c r="K1673" s="3"/>
      <c r="L1673" s="3"/>
      <c r="M1673" s="3"/>
      <c r="N1673" s="3"/>
    </row>
    <row r="1674" spans="3:14" x14ac:dyDescent="0.2">
      <c r="C1674" s="2"/>
      <c r="D1674" s="3"/>
      <c r="E1674" s="3"/>
      <c r="F1674" s="3"/>
      <c r="G1674" s="3"/>
      <c r="H1674" s="3"/>
      <c r="I1674" s="3"/>
      <c r="J1674" s="3"/>
      <c r="K1674" s="3"/>
      <c r="L1674" s="3"/>
      <c r="M1674" s="3"/>
      <c r="N1674" s="3"/>
    </row>
    <row r="1675" spans="3:14" x14ac:dyDescent="0.2">
      <c r="C1675" s="2"/>
      <c r="D1675" s="3"/>
      <c r="E1675" s="3"/>
      <c r="F1675" s="3"/>
      <c r="G1675" s="3"/>
      <c r="H1675" s="3"/>
      <c r="I1675" s="3"/>
      <c r="J1675" s="3"/>
      <c r="K1675" s="3"/>
      <c r="L1675" s="3"/>
      <c r="M1675" s="3"/>
      <c r="N1675" s="3"/>
    </row>
    <row r="1676" spans="3:14" x14ac:dyDescent="0.2">
      <c r="C1676" s="2"/>
      <c r="D1676" s="3"/>
      <c r="E1676" s="3"/>
      <c r="F1676" s="3"/>
      <c r="G1676" s="3"/>
      <c r="H1676" s="3"/>
      <c r="I1676" s="3"/>
      <c r="J1676" s="3"/>
      <c r="K1676" s="3"/>
      <c r="L1676" s="3"/>
      <c r="M1676" s="3"/>
      <c r="N1676" s="3"/>
    </row>
    <row r="1677" spans="3:14" x14ac:dyDescent="0.2">
      <c r="C1677" s="2"/>
      <c r="D1677" s="3"/>
      <c r="E1677" s="3"/>
      <c r="F1677" s="3"/>
      <c r="G1677" s="3"/>
      <c r="H1677" s="3"/>
      <c r="I1677" s="3"/>
      <c r="J1677" s="3"/>
      <c r="K1677" s="3"/>
      <c r="L1677" s="3"/>
      <c r="M1677" s="3"/>
      <c r="N1677" s="3"/>
    </row>
    <row r="1678" spans="3:14" x14ac:dyDescent="0.2">
      <c r="C1678" s="2"/>
      <c r="D1678" s="3"/>
      <c r="E1678" s="3"/>
      <c r="F1678" s="3"/>
      <c r="G1678" s="3"/>
      <c r="H1678" s="3"/>
      <c r="I1678" s="3"/>
      <c r="J1678" s="3"/>
      <c r="K1678" s="3"/>
      <c r="L1678" s="3"/>
      <c r="M1678" s="3"/>
      <c r="N1678" s="3"/>
    </row>
    <row r="1679" spans="3:14" x14ac:dyDescent="0.2">
      <c r="C1679" s="2"/>
      <c r="D1679" s="3"/>
      <c r="E1679" s="3"/>
      <c r="F1679" s="3"/>
      <c r="G1679" s="3"/>
      <c r="H1679" s="3"/>
      <c r="I1679" s="3"/>
      <c r="J1679" s="3"/>
      <c r="K1679" s="3"/>
      <c r="L1679" s="3"/>
      <c r="M1679" s="3"/>
      <c r="N1679" s="3"/>
    </row>
    <row r="1680" spans="3:14" x14ac:dyDescent="0.2">
      <c r="C1680" s="2"/>
      <c r="D1680" s="3"/>
      <c r="E1680" s="3"/>
      <c r="F1680" s="3"/>
      <c r="G1680" s="3"/>
      <c r="H1680" s="3"/>
      <c r="I1680" s="3"/>
      <c r="J1680" s="3"/>
      <c r="K1680" s="3"/>
      <c r="L1680" s="3"/>
      <c r="M1680" s="3"/>
      <c r="N1680" s="3"/>
    </row>
    <row r="1681" spans="3:14" x14ac:dyDescent="0.2">
      <c r="C1681" s="2"/>
      <c r="D1681" s="3"/>
      <c r="E1681" s="3"/>
      <c r="F1681" s="3"/>
      <c r="G1681" s="3"/>
      <c r="H1681" s="3"/>
      <c r="I1681" s="3"/>
      <c r="J1681" s="3"/>
      <c r="K1681" s="3"/>
      <c r="L1681" s="3"/>
      <c r="M1681" s="3"/>
      <c r="N1681" s="3"/>
    </row>
    <row r="1682" spans="3:14" x14ac:dyDescent="0.2">
      <c r="C1682" s="2"/>
      <c r="D1682" s="3"/>
      <c r="E1682" s="3"/>
      <c r="F1682" s="3"/>
      <c r="G1682" s="3"/>
      <c r="H1682" s="3"/>
      <c r="I1682" s="3"/>
      <c r="J1682" s="3"/>
      <c r="K1682" s="3"/>
      <c r="L1682" s="3"/>
      <c r="M1682" s="3"/>
      <c r="N1682" s="3"/>
    </row>
    <row r="1683" spans="3:14" x14ac:dyDescent="0.2">
      <c r="C1683" s="2"/>
      <c r="D1683" s="3"/>
      <c r="E1683" s="3"/>
      <c r="F1683" s="3"/>
      <c r="G1683" s="3"/>
      <c r="H1683" s="3"/>
      <c r="I1683" s="3"/>
      <c r="J1683" s="3"/>
      <c r="K1683" s="3"/>
      <c r="L1683" s="3"/>
      <c r="M1683" s="3"/>
      <c r="N1683" s="3"/>
    </row>
    <row r="1684" spans="3:14" x14ac:dyDescent="0.2">
      <c r="C1684" s="2"/>
      <c r="D1684" s="3"/>
      <c r="E1684" s="3"/>
      <c r="F1684" s="3"/>
      <c r="G1684" s="3"/>
      <c r="H1684" s="3"/>
      <c r="I1684" s="3"/>
      <c r="J1684" s="3"/>
      <c r="K1684" s="3"/>
      <c r="L1684" s="3"/>
      <c r="M1684" s="3"/>
      <c r="N1684" s="3"/>
    </row>
    <row r="1685" spans="3:14" x14ac:dyDescent="0.2">
      <c r="C1685" s="2"/>
      <c r="D1685" s="3"/>
      <c r="E1685" s="3"/>
      <c r="F1685" s="3"/>
      <c r="G1685" s="3"/>
      <c r="H1685" s="3"/>
      <c r="I1685" s="3"/>
      <c r="J1685" s="3"/>
      <c r="K1685" s="3"/>
      <c r="L1685" s="3"/>
      <c r="M1685" s="3"/>
      <c r="N1685" s="3"/>
    </row>
    <row r="1686" spans="3:14" x14ac:dyDescent="0.2">
      <c r="C1686" s="2"/>
      <c r="D1686" s="3"/>
      <c r="E1686" s="3"/>
      <c r="F1686" s="3"/>
      <c r="G1686" s="3"/>
      <c r="H1686" s="3"/>
      <c r="I1686" s="3"/>
      <c r="J1686" s="3"/>
      <c r="K1686" s="3"/>
      <c r="L1686" s="3"/>
      <c r="M1686" s="3"/>
      <c r="N1686" s="3"/>
    </row>
    <row r="1687" spans="3:14" x14ac:dyDescent="0.2">
      <c r="C1687" s="2"/>
      <c r="D1687" s="3"/>
      <c r="E1687" s="3"/>
      <c r="F1687" s="3"/>
      <c r="G1687" s="3"/>
      <c r="H1687" s="3"/>
      <c r="I1687" s="3"/>
      <c r="J1687" s="3"/>
      <c r="K1687" s="3"/>
      <c r="L1687" s="3"/>
      <c r="M1687" s="3"/>
      <c r="N1687" s="3"/>
    </row>
    <row r="1688" spans="3:14" x14ac:dyDescent="0.2">
      <c r="C1688" s="2"/>
      <c r="D1688" s="3"/>
      <c r="E1688" s="3"/>
      <c r="F1688" s="3"/>
      <c r="G1688" s="3"/>
      <c r="H1688" s="3"/>
      <c r="I1688" s="3"/>
      <c r="J1688" s="3"/>
      <c r="K1688" s="3"/>
      <c r="L1688" s="3"/>
      <c r="M1688" s="3"/>
      <c r="N1688" s="3"/>
    </row>
    <row r="1689" spans="3:14" x14ac:dyDescent="0.2">
      <c r="C1689" s="2"/>
      <c r="D1689" s="3"/>
      <c r="E1689" s="3"/>
      <c r="F1689" s="3"/>
      <c r="G1689" s="3"/>
      <c r="H1689" s="3"/>
      <c r="I1689" s="3"/>
      <c r="J1689" s="3"/>
      <c r="K1689" s="3"/>
      <c r="L1689" s="3"/>
      <c r="M1689" s="3"/>
      <c r="N1689" s="3"/>
    </row>
    <row r="1690" spans="3:14" x14ac:dyDescent="0.2">
      <c r="C1690" s="2"/>
      <c r="D1690" s="3"/>
      <c r="E1690" s="3"/>
      <c r="F1690" s="3"/>
      <c r="G1690" s="3"/>
      <c r="H1690" s="3"/>
      <c r="I1690" s="3"/>
      <c r="J1690" s="3"/>
      <c r="K1690" s="3"/>
      <c r="L1690" s="3"/>
      <c r="M1690" s="3"/>
      <c r="N1690" s="3"/>
    </row>
    <row r="1691" spans="3:14" x14ac:dyDescent="0.2">
      <c r="C1691" s="2"/>
      <c r="D1691" s="3"/>
      <c r="E1691" s="3"/>
      <c r="F1691" s="3"/>
      <c r="G1691" s="3"/>
      <c r="H1691" s="3"/>
      <c r="I1691" s="3"/>
      <c r="J1691" s="3"/>
      <c r="K1691" s="3"/>
      <c r="L1691" s="3"/>
      <c r="M1691" s="3"/>
      <c r="N1691" s="3"/>
    </row>
    <row r="1692" spans="3:14" x14ac:dyDescent="0.2">
      <c r="C1692" s="2"/>
      <c r="D1692" s="3"/>
      <c r="E1692" s="3"/>
      <c r="F1692" s="3"/>
      <c r="G1692" s="3"/>
      <c r="H1692" s="3"/>
      <c r="I1692" s="3"/>
      <c r="J1692" s="3"/>
      <c r="K1692" s="3"/>
      <c r="L1692" s="3"/>
      <c r="M1692" s="3"/>
      <c r="N1692" s="3"/>
    </row>
    <row r="1693" spans="3:14" x14ac:dyDescent="0.2">
      <c r="C1693" s="2"/>
      <c r="D1693" s="3"/>
      <c r="E1693" s="3"/>
      <c r="F1693" s="3"/>
      <c r="G1693" s="3"/>
      <c r="H1693" s="3"/>
      <c r="I1693" s="3"/>
      <c r="J1693" s="3"/>
      <c r="K1693" s="3"/>
      <c r="L1693" s="3"/>
      <c r="M1693" s="3"/>
      <c r="N1693" s="3"/>
    </row>
    <row r="1694" spans="3:14" x14ac:dyDescent="0.2">
      <c r="C1694" s="2"/>
      <c r="D1694" s="3"/>
      <c r="E1694" s="3"/>
      <c r="F1694" s="3"/>
      <c r="G1694" s="3"/>
      <c r="H1694" s="3"/>
      <c r="I1694" s="3"/>
      <c r="J1694" s="3"/>
      <c r="K1694" s="3"/>
      <c r="L1694" s="3"/>
      <c r="M1694" s="3"/>
      <c r="N1694" s="3"/>
    </row>
    <row r="1695" spans="3:14" x14ac:dyDescent="0.2">
      <c r="C1695" s="2"/>
      <c r="D1695" s="3"/>
      <c r="E1695" s="3"/>
      <c r="F1695" s="3"/>
      <c r="G1695" s="3"/>
      <c r="H1695" s="3"/>
      <c r="I1695" s="3"/>
      <c r="J1695" s="3"/>
      <c r="K1695" s="3"/>
      <c r="L1695" s="3"/>
      <c r="M1695" s="3"/>
      <c r="N1695" s="3"/>
    </row>
    <row r="1696" spans="3:14" x14ac:dyDescent="0.2">
      <c r="C1696" s="2"/>
      <c r="D1696" s="3"/>
      <c r="E1696" s="3"/>
      <c r="F1696" s="3"/>
      <c r="G1696" s="3"/>
      <c r="H1696" s="3"/>
      <c r="I1696" s="3"/>
      <c r="J1696" s="3"/>
      <c r="K1696" s="3"/>
      <c r="L1696" s="3"/>
      <c r="M1696" s="3"/>
      <c r="N1696" s="3"/>
    </row>
    <row r="1697" spans="3:14" x14ac:dyDescent="0.2">
      <c r="C1697" s="2"/>
      <c r="D1697" s="3"/>
      <c r="E1697" s="3"/>
      <c r="F1697" s="3"/>
      <c r="G1697" s="3"/>
      <c r="H1697" s="3"/>
      <c r="I1697" s="3"/>
      <c r="J1697" s="3"/>
      <c r="K1697" s="3"/>
      <c r="L1697" s="3"/>
      <c r="M1697" s="3"/>
      <c r="N1697" s="3"/>
    </row>
    <row r="1698" spans="3:14" x14ac:dyDescent="0.2">
      <c r="C1698" s="2"/>
      <c r="D1698" s="3"/>
      <c r="E1698" s="3"/>
      <c r="F1698" s="3"/>
      <c r="G1698" s="3"/>
      <c r="H1698" s="3"/>
      <c r="I1698" s="3"/>
      <c r="J1698" s="3"/>
      <c r="K1698" s="3"/>
      <c r="L1698" s="3"/>
      <c r="M1698" s="3"/>
      <c r="N1698" s="3"/>
    </row>
    <row r="1699" spans="3:14" x14ac:dyDescent="0.2">
      <c r="C1699" s="2"/>
      <c r="D1699" s="3"/>
      <c r="E1699" s="3"/>
      <c r="F1699" s="3"/>
      <c r="G1699" s="3"/>
      <c r="H1699" s="3"/>
      <c r="I1699" s="3"/>
      <c r="J1699" s="3"/>
      <c r="K1699" s="3"/>
      <c r="L1699" s="3"/>
      <c r="M1699" s="3"/>
      <c r="N1699" s="3"/>
    </row>
    <row r="1700" spans="3:14" x14ac:dyDescent="0.2">
      <c r="C1700" s="2"/>
      <c r="D1700" s="3"/>
      <c r="E1700" s="3"/>
      <c r="F1700" s="3"/>
      <c r="G1700" s="3"/>
      <c r="H1700" s="3"/>
      <c r="I1700" s="3"/>
      <c r="J1700" s="3"/>
      <c r="K1700" s="3"/>
      <c r="L1700" s="3"/>
      <c r="M1700" s="3"/>
      <c r="N1700" s="3"/>
    </row>
    <row r="1701" spans="3:14" x14ac:dyDescent="0.2">
      <c r="C1701" s="2"/>
      <c r="D1701" s="3"/>
      <c r="E1701" s="3"/>
      <c r="F1701" s="3"/>
      <c r="G1701" s="3"/>
      <c r="H1701" s="3"/>
      <c r="I1701" s="3"/>
      <c r="J1701" s="3"/>
      <c r="K1701" s="3"/>
      <c r="L1701" s="3"/>
      <c r="M1701" s="3"/>
      <c r="N1701" s="3"/>
    </row>
    <row r="1702" spans="3:14" x14ac:dyDescent="0.2">
      <c r="C1702" s="2"/>
      <c r="D1702" s="3"/>
      <c r="E1702" s="3"/>
      <c r="F1702" s="3"/>
      <c r="G1702" s="3"/>
      <c r="H1702" s="3"/>
      <c r="I1702" s="3"/>
      <c r="J1702" s="3"/>
      <c r="K1702" s="3"/>
      <c r="L1702" s="3"/>
      <c r="M1702" s="3"/>
      <c r="N1702" s="3"/>
    </row>
    <row r="1703" spans="3:14" x14ac:dyDescent="0.2">
      <c r="C1703" s="2"/>
      <c r="D1703" s="3"/>
      <c r="E1703" s="3"/>
      <c r="F1703" s="3"/>
      <c r="G1703" s="3"/>
      <c r="H1703" s="3"/>
      <c r="I1703" s="3"/>
      <c r="J1703" s="3"/>
      <c r="K1703" s="3"/>
      <c r="L1703" s="3"/>
      <c r="M1703" s="3"/>
      <c r="N1703" s="3"/>
    </row>
    <row r="1704" spans="3:14" x14ac:dyDescent="0.2">
      <c r="C1704" s="2"/>
      <c r="D1704" s="3"/>
      <c r="E1704" s="3"/>
      <c r="F1704" s="3"/>
      <c r="G1704" s="3"/>
      <c r="H1704" s="3"/>
      <c r="I1704" s="3"/>
      <c r="J1704" s="3"/>
      <c r="K1704" s="3"/>
      <c r="L1704" s="3"/>
      <c r="M1704" s="3"/>
      <c r="N1704" s="3"/>
    </row>
    <row r="1705" spans="3:14" x14ac:dyDescent="0.2">
      <c r="C1705" s="2"/>
      <c r="D1705" s="3"/>
      <c r="E1705" s="3"/>
      <c r="F1705" s="3"/>
      <c r="G1705" s="3"/>
      <c r="H1705" s="3"/>
      <c r="I1705" s="3"/>
      <c r="J1705" s="3"/>
      <c r="K1705" s="3"/>
      <c r="L1705" s="3"/>
      <c r="M1705" s="3"/>
      <c r="N1705" s="3"/>
    </row>
    <row r="1706" spans="3:14" x14ac:dyDescent="0.2">
      <c r="C1706" s="2"/>
      <c r="D1706" s="3"/>
      <c r="E1706" s="3"/>
      <c r="F1706" s="3"/>
      <c r="G1706" s="3"/>
      <c r="H1706" s="3"/>
      <c r="I1706" s="3"/>
      <c r="J1706" s="3"/>
      <c r="K1706" s="3"/>
      <c r="L1706" s="3"/>
      <c r="M1706" s="3"/>
      <c r="N1706" s="3"/>
    </row>
    <row r="1707" spans="3:14" x14ac:dyDescent="0.2">
      <c r="C1707" s="2"/>
      <c r="D1707" s="3"/>
      <c r="E1707" s="3"/>
      <c r="F1707" s="3"/>
      <c r="G1707" s="3"/>
      <c r="H1707" s="3"/>
      <c r="I1707" s="3"/>
      <c r="J1707" s="3"/>
      <c r="K1707" s="3"/>
      <c r="L1707" s="3"/>
      <c r="M1707" s="3"/>
      <c r="N1707" s="3"/>
    </row>
    <row r="1708" spans="3:14" x14ac:dyDescent="0.2">
      <c r="C1708" s="2"/>
      <c r="D1708" s="3"/>
      <c r="E1708" s="3"/>
      <c r="F1708" s="3"/>
      <c r="G1708" s="3"/>
      <c r="H1708" s="3"/>
      <c r="I1708" s="3"/>
      <c r="J1708" s="3"/>
      <c r="K1708" s="3"/>
      <c r="L1708" s="3"/>
      <c r="M1708" s="3"/>
      <c r="N1708" s="3"/>
    </row>
    <row r="1709" spans="3:14" x14ac:dyDescent="0.2">
      <c r="C1709" s="2"/>
      <c r="D1709" s="3"/>
      <c r="E1709" s="3"/>
      <c r="F1709" s="3"/>
      <c r="G1709" s="3"/>
      <c r="H1709" s="3"/>
      <c r="I1709" s="3"/>
      <c r="J1709" s="3"/>
      <c r="K1709" s="3"/>
      <c r="L1709" s="3"/>
      <c r="M1709" s="3"/>
      <c r="N1709" s="3"/>
    </row>
    <row r="1710" spans="3:14" x14ac:dyDescent="0.2">
      <c r="C1710" s="2"/>
      <c r="D1710" s="3"/>
      <c r="E1710" s="3"/>
      <c r="F1710" s="3"/>
      <c r="G1710" s="3"/>
      <c r="H1710" s="3"/>
      <c r="I1710" s="3"/>
      <c r="J1710" s="3"/>
      <c r="K1710" s="3"/>
      <c r="L1710" s="3"/>
      <c r="M1710" s="3"/>
      <c r="N1710" s="3"/>
    </row>
    <row r="1711" spans="3:14" x14ac:dyDescent="0.2">
      <c r="C1711" s="2"/>
      <c r="D1711" s="3"/>
      <c r="E1711" s="3"/>
      <c r="F1711" s="3"/>
      <c r="G1711" s="3"/>
      <c r="H1711" s="3"/>
      <c r="I1711" s="3"/>
      <c r="J1711" s="3"/>
      <c r="K1711" s="3"/>
      <c r="L1711" s="3"/>
      <c r="M1711" s="3"/>
      <c r="N1711" s="3"/>
    </row>
    <row r="1712" spans="3:14" x14ac:dyDescent="0.2">
      <c r="C1712" s="2"/>
      <c r="D1712" s="3"/>
      <c r="E1712" s="3"/>
      <c r="F1712" s="3"/>
      <c r="G1712" s="3"/>
      <c r="H1712" s="3"/>
      <c r="I1712" s="3"/>
      <c r="J1712" s="3"/>
      <c r="K1712" s="3"/>
      <c r="L1712" s="3"/>
      <c r="M1712" s="3"/>
      <c r="N1712" s="3"/>
    </row>
    <row r="1713" spans="3:14" x14ac:dyDescent="0.2">
      <c r="C1713" s="2"/>
      <c r="D1713" s="3"/>
      <c r="E1713" s="3"/>
      <c r="F1713" s="3"/>
      <c r="G1713" s="3"/>
      <c r="H1713" s="3"/>
      <c r="I1713" s="3"/>
      <c r="J1713" s="3"/>
      <c r="K1713" s="3"/>
      <c r="L1713" s="3"/>
      <c r="M1713" s="3"/>
      <c r="N1713" s="3"/>
    </row>
    <row r="1714" spans="3:14" x14ac:dyDescent="0.2">
      <c r="C1714" s="2"/>
      <c r="D1714" s="3"/>
      <c r="E1714" s="3"/>
      <c r="F1714" s="3"/>
      <c r="G1714" s="3"/>
      <c r="H1714" s="3"/>
      <c r="I1714" s="3"/>
      <c r="J1714" s="3"/>
      <c r="K1714" s="3"/>
      <c r="L1714" s="3"/>
      <c r="M1714" s="3"/>
      <c r="N1714" s="3"/>
    </row>
    <row r="1715" spans="3:14" x14ac:dyDescent="0.2">
      <c r="C1715" s="2"/>
      <c r="D1715" s="3"/>
      <c r="E1715" s="3"/>
      <c r="F1715" s="3"/>
      <c r="G1715" s="3"/>
      <c r="H1715" s="3"/>
      <c r="I1715" s="3"/>
      <c r="J1715" s="3"/>
      <c r="K1715" s="3"/>
      <c r="L1715" s="3"/>
      <c r="M1715" s="3"/>
      <c r="N1715" s="3"/>
    </row>
    <row r="1716" spans="3:14" x14ac:dyDescent="0.2">
      <c r="C1716" s="2"/>
      <c r="D1716" s="3"/>
      <c r="E1716" s="3"/>
      <c r="F1716" s="3"/>
      <c r="G1716" s="3"/>
      <c r="H1716" s="3"/>
      <c r="I1716" s="3"/>
      <c r="J1716" s="3"/>
      <c r="K1716" s="3"/>
      <c r="L1716" s="3"/>
      <c r="M1716" s="3"/>
      <c r="N1716" s="3"/>
    </row>
    <row r="1717" spans="3:14" x14ac:dyDescent="0.2">
      <c r="C1717" s="2"/>
      <c r="D1717" s="3"/>
      <c r="E1717" s="3"/>
      <c r="F1717" s="3"/>
      <c r="G1717" s="3"/>
      <c r="H1717" s="3"/>
      <c r="I1717" s="3"/>
      <c r="J1717" s="3"/>
      <c r="K1717" s="3"/>
      <c r="L1717" s="3"/>
      <c r="M1717" s="3"/>
      <c r="N1717" s="3"/>
    </row>
    <row r="1718" spans="3:14" x14ac:dyDescent="0.2">
      <c r="C1718" s="2"/>
      <c r="D1718" s="3"/>
      <c r="E1718" s="3"/>
      <c r="F1718" s="3"/>
      <c r="G1718" s="3"/>
      <c r="H1718" s="3"/>
      <c r="I1718" s="3"/>
      <c r="J1718" s="3"/>
      <c r="K1718" s="3"/>
      <c r="L1718" s="3"/>
      <c r="M1718" s="3"/>
      <c r="N1718" s="3"/>
    </row>
    <row r="1719" spans="3:14" x14ac:dyDescent="0.2">
      <c r="C1719" s="2"/>
      <c r="D1719" s="3"/>
      <c r="E1719" s="3"/>
      <c r="F1719" s="3"/>
      <c r="G1719" s="3"/>
      <c r="H1719" s="3"/>
      <c r="I1719" s="3"/>
      <c r="J1719" s="3"/>
      <c r="K1719" s="3"/>
      <c r="L1719" s="3"/>
      <c r="M1719" s="3"/>
      <c r="N1719" s="3"/>
    </row>
    <row r="1720" spans="3:14" x14ac:dyDescent="0.2">
      <c r="C1720" s="2"/>
      <c r="D1720" s="3"/>
      <c r="E1720" s="3"/>
      <c r="F1720" s="3"/>
      <c r="G1720" s="3"/>
      <c r="H1720" s="3"/>
      <c r="I1720" s="3"/>
      <c r="J1720" s="3"/>
      <c r="K1720" s="3"/>
      <c r="L1720" s="3"/>
      <c r="M1720" s="3"/>
      <c r="N1720" s="3"/>
    </row>
    <row r="1721" spans="3:14" x14ac:dyDescent="0.2">
      <c r="C1721" s="2"/>
      <c r="D1721" s="3"/>
      <c r="E1721" s="3"/>
      <c r="F1721" s="3"/>
      <c r="G1721" s="3"/>
      <c r="H1721" s="3"/>
      <c r="I1721" s="3"/>
      <c r="J1721" s="3"/>
      <c r="K1721" s="3"/>
      <c r="L1721" s="3"/>
      <c r="M1721" s="3"/>
      <c r="N1721" s="3"/>
    </row>
    <row r="1722" spans="3:14" x14ac:dyDescent="0.2">
      <c r="C1722" s="2"/>
      <c r="D1722" s="3"/>
      <c r="E1722" s="3"/>
      <c r="F1722" s="3"/>
      <c r="G1722" s="3"/>
      <c r="H1722" s="3"/>
      <c r="I1722" s="3"/>
      <c r="J1722" s="3"/>
      <c r="K1722" s="3"/>
      <c r="L1722" s="3"/>
      <c r="M1722" s="3"/>
      <c r="N1722" s="3"/>
    </row>
    <row r="1723" spans="3:14" x14ac:dyDescent="0.2">
      <c r="C1723" s="2"/>
      <c r="D1723" s="3"/>
      <c r="E1723" s="3"/>
      <c r="F1723" s="3"/>
      <c r="G1723" s="3"/>
      <c r="H1723" s="3"/>
      <c r="I1723" s="3"/>
      <c r="J1723" s="3"/>
      <c r="K1723" s="3"/>
      <c r="L1723" s="3"/>
      <c r="M1723" s="3"/>
      <c r="N1723" s="3"/>
    </row>
    <row r="1724" spans="3:14" x14ac:dyDescent="0.2">
      <c r="C1724" s="2"/>
      <c r="D1724" s="3"/>
      <c r="E1724" s="3"/>
      <c r="F1724" s="3"/>
      <c r="G1724" s="3"/>
      <c r="H1724" s="3"/>
      <c r="I1724" s="3"/>
      <c r="J1724" s="3"/>
      <c r="K1724" s="3"/>
      <c r="L1724" s="3"/>
      <c r="M1724" s="3"/>
      <c r="N1724" s="3"/>
    </row>
    <row r="1725" spans="3:14" x14ac:dyDescent="0.2">
      <c r="C1725" s="2"/>
      <c r="D1725" s="3"/>
      <c r="E1725" s="3"/>
      <c r="F1725" s="3"/>
      <c r="G1725" s="3"/>
      <c r="H1725" s="3"/>
      <c r="I1725" s="3"/>
      <c r="J1725" s="3"/>
      <c r="K1725" s="3"/>
      <c r="L1725" s="3"/>
      <c r="M1725" s="3"/>
      <c r="N1725" s="3"/>
    </row>
    <row r="1726" spans="3:14" x14ac:dyDescent="0.2">
      <c r="C1726" s="2"/>
      <c r="D1726" s="3"/>
      <c r="E1726" s="3"/>
      <c r="F1726" s="3"/>
      <c r="G1726" s="3"/>
      <c r="H1726" s="3"/>
      <c r="I1726" s="3"/>
      <c r="J1726" s="3"/>
      <c r="K1726" s="3"/>
      <c r="L1726" s="3"/>
      <c r="M1726" s="3"/>
      <c r="N1726" s="3"/>
    </row>
    <row r="1727" spans="3:14" x14ac:dyDescent="0.2">
      <c r="C1727" s="2"/>
      <c r="D1727" s="3"/>
      <c r="E1727" s="3"/>
      <c r="F1727" s="3"/>
      <c r="G1727" s="3"/>
      <c r="H1727" s="3"/>
      <c r="I1727" s="3"/>
      <c r="J1727" s="3"/>
      <c r="K1727" s="3"/>
      <c r="L1727" s="3"/>
      <c r="M1727" s="3"/>
      <c r="N1727" s="3"/>
    </row>
    <row r="1728" spans="3:14" x14ac:dyDescent="0.2">
      <c r="C1728" s="2"/>
      <c r="D1728" s="3"/>
      <c r="E1728" s="3"/>
      <c r="F1728" s="3"/>
      <c r="G1728" s="3"/>
      <c r="H1728" s="3"/>
      <c r="I1728" s="3"/>
      <c r="J1728" s="3"/>
      <c r="K1728" s="3"/>
      <c r="L1728" s="3"/>
      <c r="M1728" s="3"/>
      <c r="N1728" s="3"/>
    </row>
    <row r="1729" spans="3:14" x14ac:dyDescent="0.2">
      <c r="C1729" s="2"/>
      <c r="D1729" s="3"/>
      <c r="E1729" s="3"/>
      <c r="F1729" s="3"/>
      <c r="G1729" s="3"/>
      <c r="H1729" s="3"/>
      <c r="I1729" s="3"/>
      <c r="J1729" s="3"/>
      <c r="K1729" s="3"/>
      <c r="L1729" s="3"/>
      <c r="M1729" s="3"/>
      <c r="N1729" s="3"/>
    </row>
    <row r="1730" spans="3:14" x14ac:dyDescent="0.2">
      <c r="C1730" s="2"/>
      <c r="D1730" s="3"/>
      <c r="E1730" s="3"/>
      <c r="F1730" s="3"/>
      <c r="G1730" s="3"/>
      <c r="H1730" s="3"/>
      <c r="I1730" s="3"/>
      <c r="J1730" s="3"/>
      <c r="K1730" s="3"/>
      <c r="L1730" s="3"/>
      <c r="M1730" s="3"/>
      <c r="N1730" s="3"/>
    </row>
    <row r="1731" spans="3:14" x14ac:dyDescent="0.2">
      <c r="C1731" s="2"/>
      <c r="D1731" s="3"/>
      <c r="E1731" s="3"/>
      <c r="F1731" s="3"/>
      <c r="G1731" s="3"/>
      <c r="H1731" s="3"/>
      <c r="I1731" s="3"/>
      <c r="J1731" s="3"/>
      <c r="K1731" s="3"/>
      <c r="L1731" s="3"/>
      <c r="M1731" s="3"/>
      <c r="N1731" s="3"/>
    </row>
    <row r="1732" spans="3:14" x14ac:dyDescent="0.2">
      <c r="C1732" s="2"/>
      <c r="D1732" s="3"/>
      <c r="E1732" s="3"/>
      <c r="F1732" s="3"/>
      <c r="G1732" s="3"/>
      <c r="H1732" s="3"/>
      <c r="I1732" s="3"/>
      <c r="J1732" s="3"/>
      <c r="K1732" s="3"/>
      <c r="L1732" s="3"/>
      <c r="M1732" s="3"/>
      <c r="N1732" s="3"/>
    </row>
    <row r="1733" spans="3:14" x14ac:dyDescent="0.2">
      <c r="C1733" s="2"/>
      <c r="D1733" s="3"/>
      <c r="E1733" s="3"/>
      <c r="F1733" s="3"/>
      <c r="G1733" s="3"/>
      <c r="H1733" s="3"/>
      <c r="I1733" s="3"/>
      <c r="J1733" s="3"/>
      <c r="K1733" s="3"/>
      <c r="L1733" s="3"/>
      <c r="M1733" s="3"/>
      <c r="N1733" s="3"/>
    </row>
    <row r="1734" spans="3:14" x14ac:dyDescent="0.2">
      <c r="C1734" s="2"/>
      <c r="D1734" s="3"/>
      <c r="E1734" s="3"/>
      <c r="F1734" s="3"/>
      <c r="G1734" s="3"/>
      <c r="H1734" s="3"/>
      <c r="I1734" s="3"/>
      <c r="J1734" s="3"/>
      <c r="K1734" s="3"/>
      <c r="L1734" s="3"/>
      <c r="M1734" s="3"/>
      <c r="N1734" s="3"/>
    </row>
    <row r="1735" spans="3:14" x14ac:dyDescent="0.2">
      <c r="C1735" s="2"/>
      <c r="D1735" s="3"/>
      <c r="E1735" s="3"/>
      <c r="F1735" s="3"/>
      <c r="G1735" s="3"/>
      <c r="H1735" s="3"/>
      <c r="I1735" s="3"/>
      <c r="J1735" s="3"/>
      <c r="K1735" s="3"/>
      <c r="L1735" s="3"/>
      <c r="M1735" s="3"/>
      <c r="N1735" s="3"/>
    </row>
    <row r="1736" spans="3:14" x14ac:dyDescent="0.2">
      <c r="C1736" s="2"/>
      <c r="D1736" s="3"/>
      <c r="E1736" s="3"/>
      <c r="F1736" s="3"/>
      <c r="G1736" s="3"/>
      <c r="H1736" s="3"/>
      <c r="I1736" s="3"/>
      <c r="J1736" s="3"/>
      <c r="K1736" s="3"/>
      <c r="L1736" s="3"/>
      <c r="M1736" s="3"/>
      <c r="N1736" s="3"/>
    </row>
    <row r="1737" spans="3:14" x14ac:dyDescent="0.2">
      <c r="C1737" s="2"/>
      <c r="D1737" s="3"/>
      <c r="E1737" s="3"/>
      <c r="F1737" s="3"/>
      <c r="G1737" s="3"/>
      <c r="H1737" s="3"/>
      <c r="I1737" s="3"/>
      <c r="J1737" s="3"/>
      <c r="K1737" s="3"/>
      <c r="L1737" s="3"/>
      <c r="M1737" s="3"/>
      <c r="N1737" s="3"/>
    </row>
    <row r="1738" spans="3:14" x14ac:dyDescent="0.2">
      <c r="C1738" s="2"/>
      <c r="D1738" s="3"/>
      <c r="E1738" s="3"/>
      <c r="F1738" s="3"/>
      <c r="G1738" s="3"/>
      <c r="H1738" s="3"/>
      <c r="I1738" s="3"/>
      <c r="J1738" s="3"/>
      <c r="K1738" s="3"/>
      <c r="L1738" s="3"/>
      <c r="M1738" s="3"/>
      <c r="N1738" s="3"/>
    </row>
    <row r="1739" spans="3:14" x14ac:dyDescent="0.2">
      <c r="C1739" s="2"/>
      <c r="D1739" s="3"/>
      <c r="E1739" s="3"/>
      <c r="F1739" s="3"/>
      <c r="G1739" s="3"/>
      <c r="H1739" s="3"/>
      <c r="I1739" s="3"/>
      <c r="J1739" s="3"/>
      <c r="K1739" s="3"/>
      <c r="L1739" s="3"/>
      <c r="M1739" s="3"/>
      <c r="N1739" s="3"/>
    </row>
    <row r="1740" spans="3:14" x14ac:dyDescent="0.2">
      <c r="C1740" s="2"/>
      <c r="D1740" s="3"/>
      <c r="E1740" s="3"/>
      <c r="F1740" s="3"/>
      <c r="G1740" s="3"/>
      <c r="H1740" s="3"/>
      <c r="I1740" s="3"/>
      <c r="J1740" s="3"/>
      <c r="K1740" s="3"/>
      <c r="L1740" s="3"/>
      <c r="M1740" s="3"/>
      <c r="N1740" s="3"/>
    </row>
    <row r="1741" spans="3:14" x14ac:dyDescent="0.2">
      <c r="C1741" s="2"/>
      <c r="D1741" s="3"/>
      <c r="E1741" s="3"/>
      <c r="F1741" s="3"/>
      <c r="G1741" s="3"/>
      <c r="H1741" s="3"/>
      <c r="I1741" s="3"/>
      <c r="J1741" s="3"/>
      <c r="K1741" s="3"/>
      <c r="L1741" s="3"/>
      <c r="M1741" s="3"/>
      <c r="N1741" s="3"/>
    </row>
    <row r="1742" spans="3:14" x14ac:dyDescent="0.2">
      <c r="C1742" s="2"/>
      <c r="D1742" s="3"/>
      <c r="E1742" s="3"/>
      <c r="F1742" s="3"/>
      <c r="G1742" s="3"/>
      <c r="H1742" s="3"/>
      <c r="I1742" s="3"/>
      <c r="J1742" s="3"/>
      <c r="K1742" s="3"/>
      <c r="L1742" s="3"/>
      <c r="M1742" s="3"/>
      <c r="N1742" s="3"/>
    </row>
    <row r="1743" spans="3:14" x14ac:dyDescent="0.2">
      <c r="C1743" s="2"/>
      <c r="D1743" s="3"/>
      <c r="E1743" s="3"/>
      <c r="F1743" s="3"/>
      <c r="G1743" s="3"/>
      <c r="H1743" s="3"/>
      <c r="I1743" s="3"/>
      <c r="J1743" s="3"/>
      <c r="K1743" s="3"/>
      <c r="L1743" s="3"/>
      <c r="M1743" s="3"/>
      <c r="N1743" s="3"/>
    </row>
    <row r="1744" spans="3:14" x14ac:dyDescent="0.2">
      <c r="C1744" s="2"/>
      <c r="D1744" s="3"/>
      <c r="E1744" s="3"/>
      <c r="F1744" s="3"/>
      <c r="G1744" s="3"/>
      <c r="H1744" s="3"/>
      <c r="I1744" s="3"/>
      <c r="J1744" s="3"/>
      <c r="K1744" s="3"/>
      <c r="L1744" s="3"/>
      <c r="M1744" s="3"/>
      <c r="N1744" s="3"/>
    </row>
    <row r="1745" spans="3:14" x14ac:dyDescent="0.2">
      <c r="C1745" s="2"/>
      <c r="D1745" s="3"/>
      <c r="E1745" s="3"/>
      <c r="F1745" s="3"/>
      <c r="G1745" s="3"/>
      <c r="H1745" s="3"/>
      <c r="I1745" s="3"/>
      <c r="J1745" s="3"/>
      <c r="K1745" s="3"/>
      <c r="L1745" s="3"/>
      <c r="M1745" s="3"/>
      <c r="N1745" s="3"/>
    </row>
    <row r="1746" spans="3:14" x14ac:dyDescent="0.2">
      <c r="C1746" s="2"/>
      <c r="D1746" s="3"/>
      <c r="E1746" s="3"/>
      <c r="F1746" s="3"/>
      <c r="G1746" s="3"/>
      <c r="H1746" s="3"/>
      <c r="I1746" s="3"/>
      <c r="J1746" s="3"/>
      <c r="K1746" s="3"/>
      <c r="L1746" s="3"/>
      <c r="M1746" s="3"/>
      <c r="N1746" s="3"/>
    </row>
    <row r="1747" spans="3:14" x14ac:dyDescent="0.2">
      <c r="C1747" s="2"/>
      <c r="D1747" s="3"/>
      <c r="E1747" s="3"/>
      <c r="F1747" s="3"/>
      <c r="G1747" s="3"/>
      <c r="H1747" s="3"/>
      <c r="I1747" s="3"/>
      <c r="J1747" s="3"/>
      <c r="K1747" s="3"/>
      <c r="L1747" s="3"/>
      <c r="M1747" s="3"/>
      <c r="N1747" s="3"/>
    </row>
    <row r="1748" spans="3:14" x14ac:dyDescent="0.2">
      <c r="C1748" s="2"/>
      <c r="D1748" s="3"/>
      <c r="E1748" s="3"/>
      <c r="F1748" s="3"/>
      <c r="G1748" s="3"/>
      <c r="H1748" s="3"/>
      <c r="I1748" s="3"/>
      <c r="J1748" s="3"/>
      <c r="K1748" s="3"/>
      <c r="L1748" s="3"/>
      <c r="M1748" s="3"/>
      <c r="N1748" s="3"/>
    </row>
    <row r="1749" spans="3:14" x14ac:dyDescent="0.2">
      <c r="C1749" s="2"/>
      <c r="D1749" s="3"/>
      <c r="E1749" s="3"/>
      <c r="F1749" s="3"/>
      <c r="G1749" s="3"/>
      <c r="H1749" s="3"/>
      <c r="I1749" s="3"/>
      <c r="J1749" s="3"/>
      <c r="K1749" s="3"/>
      <c r="L1749" s="3"/>
      <c r="M1749" s="3"/>
      <c r="N1749" s="3"/>
    </row>
    <row r="1750" spans="3:14" x14ac:dyDescent="0.2">
      <c r="C1750" s="2"/>
      <c r="D1750" s="3"/>
      <c r="E1750" s="3"/>
      <c r="F1750" s="3"/>
      <c r="G1750" s="3"/>
      <c r="H1750" s="3"/>
      <c r="I1750" s="3"/>
      <c r="J1750" s="3"/>
      <c r="K1750" s="3"/>
      <c r="L1750" s="3"/>
      <c r="M1750" s="3"/>
      <c r="N1750" s="3"/>
    </row>
    <row r="1751" spans="3:14" x14ac:dyDescent="0.2">
      <c r="C1751" s="2"/>
      <c r="D1751" s="3"/>
      <c r="E1751" s="3"/>
      <c r="F1751" s="3"/>
      <c r="G1751" s="3"/>
      <c r="H1751" s="3"/>
      <c r="I1751" s="3"/>
      <c r="J1751" s="3"/>
      <c r="K1751" s="3"/>
      <c r="L1751" s="3"/>
      <c r="M1751" s="3"/>
      <c r="N1751" s="3"/>
    </row>
    <row r="1752" spans="3:14" x14ac:dyDescent="0.2">
      <c r="C1752" s="2"/>
      <c r="D1752" s="3"/>
      <c r="E1752" s="3"/>
      <c r="F1752" s="3"/>
      <c r="G1752" s="3"/>
      <c r="H1752" s="3"/>
      <c r="I1752" s="3"/>
      <c r="J1752" s="3"/>
      <c r="K1752" s="3"/>
      <c r="L1752" s="3"/>
      <c r="M1752" s="3"/>
      <c r="N1752" s="3"/>
    </row>
    <row r="1753" spans="3:14" x14ac:dyDescent="0.2">
      <c r="C1753" s="2"/>
      <c r="D1753" s="3"/>
      <c r="E1753" s="3"/>
      <c r="F1753" s="3"/>
      <c r="G1753" s="3"/>
      <c r="H1753" s="3"/>
      <c r="I1753" s="3"/>
      <c r="J1753" s="3"/>
      <c r="K1753" s="3"/>
      <c r="L1753" s="3"/>
      <c r="M1753" s="3"/>
      <c r="N1753" s="3"/>
    </row>
    <row r="1754" spans="3:14" x14ac:dyDescent="0.2">
      <c r="C1754" s="2"/>
      <c r="D1754" s="3"/>
      <c r="E1754" s="3"/>
      <c r="F1754" s="3"/>
      <c r="G1754" s="3"/>
      <c r="H1754" s="3"/>
      <c r="I1754" s="3"/>
      <c r="J1754" s="3"/>
      <c r="K1754" s="3"/>
      <c r="L1754" s="3"/>
      <c r="M1754" s="3"/>
      <c r="N1754" s="3"/>
    </row>
    <row r="1755" spans="3:14" x14ac:dyDescent="0.2">
      <c r="C1755" s="2"/>
      <c r="D1755" s="3"/>
      <c r="E1755" s="3"/>
      <c r="F1755" s="3"/>
      <c r="G1755" s="3"/>
      <c r="H1755" s="3"/>
      <c r="I1755" s="3"/>
      <c r="J1755" s="3"/>
      <c r="K1755" s="3"/>
      <c r="L1755" s="3"/>
      <c r="M1755" s="3"/>
      <c r="N1755" s="3"/>
    </row>
    <row r="1756" spans="3:14" x14ac:dyDescent="0.2">
      <c r="C1756" s="2"/>
      <c r="D1756" s="3"/>
      <c r="E1756" s="3"/>
      <c r="F1756" s="3"/>
      <c r="G1756" s="3"/>
      <c r="H1756" s="3"/>
      <c r="I1756" s="3"/>
      <c r="J1756" s="3"/>
      <c r="K1756" s="3"/>
      <c r="L1756" s="3"/>
      <c r="M1756" s="3"/>
      <c r="N1756" s="3"/>
    </row>
    <row r="1757" spans="3:14" x14ac:dyDescent="0.2">
      <c r="C1757" s="2"/>
      <c r="D1757" s="3"/>
      <c r="E1757" s="3"/>
      <c r="F1757" s="3"/>
      <c r="G1757" s="3"/>
      <c r="H1757" s="3"/>
      <c r="I1757" s="3"/>
      <c r="J1757" s="3"/>
      <c r="K1757" s="3"/>
      <c r="L1757" s="3"/>
      <c r="M1757" s="3"/>
      <c r="N1757" s="3"/>
    </row>
    <row r="1758" spans="3:14" x14ac:dyDescent="0.2">
      <c r="C1758" s="2"/>
      <c r="D1758" s="3"/>
      <c r="E1758" s="3"/>
      <c r="F1758" s="3"/>
      <c r="G1758" s="3"/>
      <c r="H1758" s="3"/>
      <c r="I1758" s="3"/>
      <c r="J1758" s="3"/>
      <c r="K1758" s="3"/>
      <c r="L1758" s="3"/>
      <c r="M1758" s="3"/>
      <c r="N1758" s="3"/>
    </row>
    <row r="1759" spans="3:14" x14ac:dyDescent="0.2">
      <c r="C1759" s="2"/>
      <c r="D1759" s="3"/>
      <c r="E1759" s="3"/>
      <c r="F1759" s="3"/>
      <c r="G1759" s="3"/>
      <c r="H1759" s="3"/>
      <c r="I1759" s="3"/>
      <c r="J1759" s="3"/>
      <c r="K1759" s="3"/>
      <c r="L1759" s="3"/>
      <c r="M1759" s="3"/>
      <c r="N1759" s="3"/>
    </row>
    <row r="1760" spans="3:14" x14ac:dyDescent="0.2">
      <c r="C1760" s="2"/>
      <c r="D1760" s="3"/>
      <c r="E1760" s="3"/>
      <c r="F1760" s="3"/>
      <c r="G1760" s="3"/>
      <c r="H1760" s="3"/>
      <c r="I1760" s="3"/>
      <c r="J1760" s="3"/>
      <c r="K1760" s="3"/>
      <c r="L1760" s="3"/>
      <c r="M1760" s="3"/>
      <c r="N1760" s="3"/>
    </row>
    <row r="1761" spans="3:14" x14ac:dyDescent="0.2">
      <c r="C1761" s="2"/>
      <c r="D1761" s="3"/>
      <c r="E1761" s="3"/>
      <c r="F1761" s="3"/>
      <c r="G1761" s="3"/>
      <c r="H1761" s="3"/>
      <c r="I1761" s="3"/>
      <c r="J1761" s="3"/>
      <c r="K1761" s="3"/>
      <c r="L1761" s="3"/>
      <c r="M1761" s="3"/>
      <c r="N1761" s="3"/>
    </row>
    <row r="1762" spans="3:14" x14ac:dyDescent="0.2">
      <c r="C1762" s="2"/>
      <c r="D1762" s="3"/>
      <c r="E1762" s="3"/>
      <c r="F1762" s="3"/>
      <c r="G1762" s="3"/>
      <c r="H1762" s="3"/>
      <c r="I1762" s="3"/>
      <c r="J1762" s="3"/>
      <c r="K1762" s="3"/>
      <c r="L1762" s="3"/>
      <c r="M1762" s="3"/>
      <c r="N1762" s="3"/>
    </row>
    <row r="1763" spans="3:14" x14ac:dyDescent="0.2">
      <c r="C1763" s="2"/>
      <c r="D1763" s="3"/>
      <c r="E1763" s="3"/>
      <c r="F1763" s="3"/>
      <c r="G1763" s="3"/>
      <c r="H1763" s="3"/>
      <c r="I1763" s="3"/>
      <c r="J1763" s="3"/>
      <c r="K1763" s="3"/>
      <c r="L1763" s="3"/>
      <c r="M1763" s="3"/>
      <c r="N1763" s="3"/>
    </row>
    <row r="1764" spans="3:14" x14ac:dyDescent="0.2">
      <c r="C1764" s="2"/>
      <c r="D1764" s="3"/>
      <c r="E1764" s="3"/>
      <c r="F1764" s="3"/>
      <c r="G1764" s="3"/>
      <c r="H1764" s="3"/>
      <c r="I1764" s="3"/>
      <c r="J1764" s="3"/>
      <c r="K1764" s="3"/>
      <c r="L1764" s="3"/>
      <c r="M1764" s="3"/>
      <c r="N1764" s="3"/>
    </row>
    <row r="1765" spans="3:14" x14ac:dyDescent="0.2">
      <c r="C1765" s="2"/>
      <c r="D1765" s="3"/>
      <c r="E1765" s="3"/>
      <c r="F1765" s="3"/>
      <c r="G1765" s="3"/>
      <c r="H1765" s="3"/>
      <c r="I1765" s="3"/>
      <c r="J1765" s="3"/>
      <c r="K1765" s="3"/>
      <c r="L1765" s="3"/>
      <c r="M1765" s="3"/>
      <c r="N1765" s="3"/>
    </row>
    <row r="1766" spans="3:14" x14ac:dyDescent="0.2">
      <c r="C1766" s="2"/>
      <c r="D1766" s="3"/>
      <c r="E1766" s="3"/>
      <c r="F1766" s="3"/>
      <c r="G1766" s="3"/>
      <c r="H1766" s="3"/>
      <c r="I1766" s="3"/>
      <c r="J1766" s="3"/>
      <c r="K1766" s="3"/>
      <c r="L1766" s="3"/>
      <c r="M1766" s="3"/>
      <c r="N1766" s="3"/>
    </row>
    <row r="1767" spans="3:14" x14ac:dyDescent="0.2">
      <c r="C1767" s="2"/>
      <c r="D1767" s="3"/>
      <c r="E1767" s="3"/>
      <c r="F1767" s="3"/>
      <c r="G1767" s="3"/>
      <c r="H1767" s="3"/>
      <c r="I1767" s="3"/>
      <c r="J1767" s="3"/>
      <c r="K1767" s="3"/>
      <c r="L1767" s="3"/>
      <c r="M1767" s="3"/>
      <c r="N1767" s="3"/>
    </row>
    <row r="1768" spans="3:14" x14ac:dyDescent="0.2">
      <c r="C1768" s="2"/>
      <c r="D1768" s="3"/>
      <c r="E1768" s="3"/>
      <c r="F1768" s="3"/>
      <c r="G1768" s="3"/>
      <c r="H1768" s="3"/>
      <c r="I1768" s="3"/>
      <c r="J1768" s="3"/>
      <c r="K1768" s="3"/>
      <c r="L1768" s="3"/>
      <c r="M1768" s="3"/>
      <c r="N1768" s="3"/>
    </row>
    <row r="1769" spans="3:14" x14ac:dyDescent="0.2">
      <c r="C1769" s="2"/>
      <c r="D1769" s="3"/>
      <c r="E1769" s="3"/>
      <c r="F1769" s="3"/>
      <c r="G1769" s="3"/>
      <c r="H1769" s="3"/>
      <c r="I1769" s="3"/>
      <c r="J1769" s="3"/>
      <c r="K1769" s="3"/>
      <c r="L1769" s="3"/>
      <c r="M1769" s="3"/>
      <c r="N1769" s="3"/>
    </row>
    <row r="1770" spans="3:14" x14ac:dyDescent="0.2">
      <c r="C1770" s="2"/>
      <c r="D1770" s="3"/>
      <c r="E1770" s="3"/>
      <c r="F1770" s="3"/>
      <c r="G1770" s="3"/>
      <c r="H1770" s="3"/>
      <c r="I1770" s="3"/>
      <c r="J1770" s="3"/>
      <c r="K1770" s="3"/>
      <c r="L1770" s="3"/>
      <c r="M1770" s="3"/>
      <c r="N1770" s="3"/>
    </row>
    <row r="1771" spans="3:14" x14ac:dyDescent="0.2">
      <c r="C1771" s="2"/>
      <c r="D1771" s="3"/>
      <c r="E1771" s="3"/>
      <c r="F1771" s="3"/>
      <c r="G1771" s="3"/>
      <c r="H1771" s="3"/>
      <c r="I1771" s="3"/>
      <c r="J1771" s="3"/>
      <c r="K1771" s="3"/>
      <c r="L1771" s="3"/>
      <c r="M1771" s="3"/>
      <c r="N1771" s="3"/>
    </row>
    <row r="1772" spans="3:14" x14ac:dyDescent="0.2">
      <c r="C1772" s="2"/>
      <c r="D1772" s="3"/>
      <c r="E1772" s="3"/>
      <c r="F1772" s="3"/>
      <c r="G1772" s="3"/>
      <c r="H1772" s="3"/>
      <c r="I1772" s="3"/>
      <c r="J1772" s="3"/>
      <c r="K1772" s="3"/>
      <c r="L1772" s="3"/>
      <c r="M1772" s="3"/>
      <c r="N1772" s="3"/>
    </row>
    <row r="1773" spans="3:14" x14ac:dyDescent="0.2">
      <c r="C1773" s="2"/>
      <c r="D1773" s="3"/>
      <c r="E1773" s="3"/>
      <c r="F1773" s="3"/>
      <c r="G1773" s="3"/>
      <c r="H1773" s="3"/>
      <c r="I1773" s="3"/>
      <c r="J1773" s="3"/>
      <c r="K1773" s="3"/>
      <c r="L1773" s="3"/>
      <c r="M1773" s="3"/>
      <c r="N1773" s="3"/>
    </row>
    <row r="1774" spans="3:14" x14ac:dyDescent="0.2">
      <c r="C1774" s="2"/>
      <c r="D1774" s="3"/>
      <c r="E1774" s="3"/>
      <c r="F1774" s="3"/>
      <c r="G1774" s="3"/>
      <c r="H1774" s="3"/>
      <c r="I1774" s="3"/>
      <c r="J1774" s="3"/>
      <c r="K1774" s="3"/>
      <c r="L1774" s="3"/>
      <c r="M1774" s="3"/>
      <c r="N1774" s="3"/>
    </row>
    <row r="1775" spans="3:14" x14ac:dyDescent="0.2">
      <c r="C1775" s="2"/>
      <c r="D1775" s="3"/>
      <c r="E1775" s="3"/>
      <c r="F1775" s="3"/>
      <c r="G1775" s="3"/>
      <c r="H1775" s="3"/>
      <c r="I1775" s="3"/>
      <c r="J1775" s="3"/>
      <c r="K1775" s="3"/>
      <c r="L1775" s="3"/>
      <c r="M1775" s="3"/>
      <c r="N1775" s="3"/>
    </row>
    <row r="1776" spans="3:14" x14ac:dyDescent="0.2">
      <c r="C1776" s="2"/>
      <c r="D1776" s="3"/>
      <c r="E1776" s="3"/>
      <c r="F1776" s="3"/>
      <c r="G1776" s="3"/>
      <c r="H1776" s="3"/>
      <c r="I1776" s="3"/>
      <c r="J1776" s="3"/>
      <c r="K1776" s="3"/>
      <c r="L1776" s="3"/>
      <c r="M1776" s="3"/>
      <c r="N1776" s="3"/>
    </row>
    <row r="1777" spans="3:14" x14ac:dyDescent="0.2">
      <c r="C1777" s="2"/>
      <c r="D1777" s="3"/>
      <c r="E1777" s="3"/>
      <c r="F1777" s="3"/>
      <c r="G1777" s="3"/>
      <c r="H1777" s="3"/>
      <c r="I1777" s="3"/>
      <c r="J1777" s="3"/>
      <c r="K1777" s="3"/>
      <c r="L1777" s="3"/>
      <c r="M1777" s="3"/>
      <c r="N1777" s="3"/>
    </row>
    <row r="1778" spans="3:14" x14ac:dyDescent="0.2">
      <c r="C1778" s="2"/>
      <c r="D1778" s="3"/>
      <c r="E1778" s="3"/>
      <c r="F1778" s="3"/>
      <c r="G1778" s="3"/>
      <c r="H1778" s="3"/>
      <c r="I1778" s="3"/>
      <c r="J1778" s="3"/>
      <c r="K1778" s="3"/>
      <c r="L1778" s="3"/>
      <c r="M1778" s="3"/>
      <c r="N1778" s="3"/>
    </row>
    <row r="1779" spans="3:14" x14ac:dyDescent="0.2">
      <c r="C1779" s="2"/>
      <c r="D1779" s="3"/>
      <c r="E1779" s="3"/>
      <c r="F1779" s="3"/>
      <c r="G1779" s="3"/>
      <c r="H1779" s="3"/>
      <c r="I1779" s="3"/>
      <c r="J1779" s="3"/>
      <c r="K1779" s="3"/>
      <c r="L1779" s="3"/>
      <c r="M1779" s="3"/>
      <c r="N1779" s="3"/>
    </row>
    <row r="1780" spans="3:14" x14ac:dyDescent="0.2">
      <c r="C1780" s="2"/>
      <c r="D1780" s="3"/>
      <c r="E1780" s="3"/>
      <c r="F1780" s="3"/>
      <c r="G1780" s="3"/>
      <c r="H1780" s="3"/>
      <c r="I1780" s="3"/>
      <c r="J1780" s="3"/>
      <c r="K1780" s="3"/>
      <c r="L1780" s="3"/>
      <c r="M1780" s="3"/>
      <c r="N1780" s="3"/>
    </row>
    <row r="1781" spans="3:14" x14ac:dyDescent="0.2">
      <c r="C1781" s="2"/>
      <c r="D1781" s="3"/>
      <c r="E1781" s="3"/>
      <c r="F1781" s="3"/>
      <c r="G1781" s="3"/>
      <c r="H1781" s="3"/>
      <c r="I1781" s="3"/>
      <c r="J1781" s="3"/>
      <c r="K1781" s="3"/>
      <c r="L1781" s="3"/>
      <c r="M1781" s="3"/>
      <c r="N1781" s="3"/>
    </row>
    <row r="1782" spans="3:14" x14ac:dyDescent="0.2">
      <c r="C1782" s="2"/>
      <c r="D1782" s="3"/>
      <c r="E1782" s="3"/>
      <c r="F1782" s="3"/>
      <c r="G1782" s="3"/>
      <c r="H1782" s="3"/>
      <c r="I1782" s="3"/>
      <c r="J1782" s="3"/>
      <c r="K1782" s="3"/>
      <c r="L1782" s="3"/>
      <c r="M1782" s="3"/>
      <c r="N1782" s="3"/>
    </row>
    <row r="1783" spans="3:14" x14ac:dyDescent="0.2">
      <c r="C1783" s="2"/>
      <c r="D1783" s="3"/>
      <c r="E1783" s="3"/>
      <c r="F1783" s="3"/>
      <c r="G1783" s="3"/>
      <c r="H1783" s="3"/>
      <c r="I1783" s="3"/>
      <c r="J1783" s="3"/>
      <c r="K1783" s="3"/>
      <c r="L1783" s="3"/>
      <c r="M1783" s="3"/>
      <c r="N1783" s="3"/>
    </row>
    <row r="1784" spans="3:14" x14ac:dyDescent="0.2">
      <c r="C1784" s="2"/>
      <c r="D1784" s="3"/>
      <c r="E1784" s="3"/>
      <c r="F1784" s="3"/>
      <c r="G1784" s="3"/>
      <c r="H1784" s="3"/>
      <c r="I1784" s="3"/>
      <c r="J1784" s="3"/>
      <c r="K1784" s="3"/>
      <c r="L1784" s="3"/>
      <c r="M1784" s="3"/>
      <c r="N1784" s="3"/>
    </row>
    <row r="1785" spans="3:14" x14ac:dyDescent="0.2">
      <c r="C1785" s="2"/>
      <c r="D1785" s="3"/>
      <c r="E1785" s="3"/>
      <c r="F1785" s="3"/>
      <c r="G1785" s="3"/>
      <c r="H1785" s="3"/>
      <c r="I1785" s="3"/>
      <c r="J1785" s="3"/>
      <c r="K1785" s="3"/>
      <c r="L1785" s="3"/>
      <c r="M1785" s="3"/>
      <c r="N1785" s="3"/>
    </row>
    <row r="1786" spans="3:14" x14ac:dyDescent="0.2">
      <c r="C1786" s="2"/>
      <c r="D1786" s="3"/>
      <c r="E1786" s="3"/>
      <c r="F1786" s="3"/>
      <c r="G1786" s="3"/>
      <c r="H1786" s="3"/>
      <c r="I1786" s="3"/>
      <c r="J1786" s="3"/>
      <c r="K1786" s="3"/>
      <c r="L1786" s="3"/>
      <c r="M1786" s="3"/>
      <c r="N1786" s="3"/>
    </row>
    <row r="1787" spans="3:14" x14ac:dyDescent="0.2">
      <c r="C1787" s="2"/>
      <c r="D1787" s="3"/>
      <c r="E1787" s="3"/>
      <c r="F1787" s="3"/>
      <c r="G1787" s="3"/>
      <c r="H1787" s="3"/>
      <c r="I1787" s="3"/>
      <c r="J1787" s="3"/>
      <c r="K1787" s="3"/>
      <c r="L1787" s="3"/>
      <c r="M1787" s="3"/>
      <c r="N1787" s="3"/>
    </row>
    <row r="1788" spans="3:14" x14ac:dyDescent="0.2">
      <c r="C1788" s="2"/>
      <c r="D1788" s="3"/>
      <c r="E1788" s="3"/>
      <c r="F1788" s="3"/>
      <c r="G1788" s="3"/>
      <c r="H1788" s="3"/>
      <c r="I1788" s="3"/>
      <c r="J1788" s="3"/>
      <c r="K1788" s="3"/>
      <c r="L1788" s="3"/>
      <c r="M1788" s="3"/>
      <c r="N1788" s="3"/>
    </row>
    <row r="1789" spans="3:14" x14ac:dyDescent="0.2">
      <c r="C1789" s="2"/>
      <c r="D1789" s="3"/>
      <c r="E1789" s="3"/>
      <c r="F1789" s="3"/>
      <c r="G1789" s="3"/>
      <c r="H1789" s="3"/>
      <c r="I1789" s="3"/>
      <c r="J1789" s="3"/>
      <c r="K1789" s="3"/>
      <c r="L1789" s="3"/>
      <c r="M1789" s="3"/>
      <c r="N1789" s="3"/>
    </row>
    <row r="1790" spans="3:14" x14ac:dyDescent="0.2">
      <c r="C1790" s="2"/>
      <c r="D1790" s="3"/>
      <c r="E1790" s="3"/>
      <c r="F1790" s="3"/>
      <c r="G1790" s="3"/>
      <c r="H1790" s="3"/>
      <c r="I1790" s="3"/>
      <c r="J1790" s="3"/>
      <c r="K1790" s="3"/>
      <c r="L1790" s="3"/>
      <c r="M1790" s="3"/>
      <c r="N1790" s="3"/>
    </row>
    <row r="1791" spans="3:14" x14ac:dyDescent="0.2">
      <c r="C1791" s="2"/>
      <c r="D1791" s="3"/>
      <c r="E1791" s="3"/>
      <c r="F1791" s="3"/>
      <c r="G1791" s="3"/>
      <c r="H1791" s="3"/>
      <c r="I1791" s="3"/>
      <c r="J1791" s="3"/>
      <c r="K1791" s="3"/>
      <c r="L1791" s="3"/>
      <c r="M1791" s="3"/>
      <c r="N1791" s="3"/>
    </row>
    <row r="1792" spans="3:14" x14ac:dyDescent="0.2">
      <c r="C1792" s="2"/>
      <c r="D1792" s="3"/>
      <c r="E1792" s="3"/>
      <c r="F1792" s="3"/>
      <c r="G1792" s="3"/>
      <c r="H1792" s="3"/>
      <c r="I1792" s="3"/>
      <c r="J1792" s="3"/>
      <c r="K1792" s="3"/>
      <c r="L1792" s="3"/>
      <c r="M1792" s="3"/>
      <c r="N1792" s="3"/>
    </row>
    <row r="1793" spans="3:14" x14ac:dyDescent="0.2">
      <c r="C1793" s="2"/>
      <c r="D1793" s="3"/>
      <c r="E1793" s="3"/>
      <c r="F1793" s="3"/>
      <c r="G1793" s="3"/>
      <c r="H1793" s="3"/>
      <c r="I1793" s="3"/>
      <c r="J1793" s="3"/>
      <c r="K1793" s="3"/>
      <c r="L1793" s="3"/>
      <c r="M1793" s="3"/>
      <c r="N1793" s="3"/>
    </row>
    <row r="1794" spans="3:14" x14ac:dyDescent="0.2">
      <c r="C1794" s="2"/>
      <c r="D1794" s="3"/>
      <c r="E1794" s="3"/>
      <c r="F1794" s="3"/>
      <c r="G1794" s="3"/>
      <c r="H1794" s="3"/>
      <c r="I1794" s="3"/>
      <c r="J1794" s="3"/>
      <c r="K1794" s="3"/>
      <c r="L1794" s="3"/>
      <c r="M1794" s="3"/>
      <c r="N1794" s="3"/>
    </row>
    <row r="1795" spans="3:14" x14ac:dyDescent="0.2">
      <c r="C1795" s="2"/>
      <c r="D1795" s="3"/>
      <c r="E1795" s="3"/>
      <c r="F1795" s="3"/>
      <c r="G1795" s="3"/>
      <c r="H1795" s="3"/>
      <c r="I1795" s="3"/>
      <c r="J1795" s="3"/>
      <c r="K1795" s="3"/>
      <c r="L1795" s="3"/>
      <c r="M1795" s="3"/>
      <c r="N1795" s="3"/>
    </row>
    <row r="1796" spans="3:14" x14ac:dyDescent="0.2">
      <c r="C1796" s="2"/>
      <c r="D1796" s="3"/>
      <c r="E1796" s="3"/>
      <c r="F1796" s="3"/>
      <c r="G1796" s="3"/>
      <c r="H1796" s="3"/>
      <c r="I1796" s="3"/>
      <c r="J1796" s="3"/>
      <c r="K1796" s="3"/>
      <c r="L1796" s="3"/>
      <c r="M1796" s="3"/>
      <c r="N1796" s="3"/>
    </row>
    <row r="1797" spans="3:14" x14ac:dyDescent="0.2">
      <c r="C1797" s="2"/>
      <c r="D1797" s="3"/>
      <c r="E1797" s="3"/>
      <c r="F1797" s="3"/>
      <c r="G1797" s="3"/>
      <c r="H1797" s="3"/>
      <c r="I1797" s="3"/>
      <c r="J1797" s="3"/>
      <c r="K1797" s="3"/>
      <c r="L1797" s="3"/>
      <c r="M1797" s="3"/>
      <c r="N1797" s="3"/>
    </row>
    <row r="1798" spans="3:14" x14ac:dyDescent="0.2">
      <c r="C1798" s="2"/>
      <c r="D1798" s="3"/>
      <c r="E1798" s="3"/>
      <c r="F1798" s="3"/>
      <c r="G1798" s="3"/>
      <c r="H1798" s="3"/>
      <c r="I1798" s="3"/>
      <c r="J1798" s="3"/>
      <c r="K1798" s="3"/>
      <c r="L1798" s="3"/>
      <c r="M1798" s="3"/>
      <c r="N1798" s="3"/>
    </row>
    <row r="1799" spans="3:14" x14ac:dyDescent="0.2">
      <c r="C1799" s="2"/>
      <c r="D1799" s="3"/>
      <c r="E1799" s="3"/>
      <c r="F1799" s="3"/>
      <c r="G1799" s="3"/>
      <c r="H1799" s="3"/>
      <c r="I1799" s="3"/>
      <c r="J1799" s="3"/>
      <c r="K1799" s="3"/>
      <c r="L1799" s="3"/>
      <c r="M1799" s="3"/>
      <c r="N1799" s="3"/>
    </row>
    <row r="1800" spans="3:14" x14ac:dyDescent="0.2">
      <c r="C1800" s="2"/>
      <c r="D1800" s="3"/>
      <c r="E1800" s="3"/>
      <c r="F1800" s="3"/>
      <c r="G1800" s="3"/>
      <c r="H1800" s="3"/>
      <c r="I1800" s="3"/>
      <c r="J1800" s="3"/>
      <c r="K1800" s="3"/>
      <c r="L1800" s="3"/>
      <c r="M1800" s="3"/>
      <c r="N1800" s="3"/>
    </row>
    <row r="1801" spans="3:14" x14ac:dyDescent="0.2">
      <c r="C1801" s="2"/>
      <c r="D1801" s="3"/>
      <c r="E1801" s="3"/>
      <c r="F1801" s="3"/>
      <c r="G1801" s="3"/>
      <c r="H1801" s="3"/>
      <c r="I1801" s="3"/>
      <c r="J1801" s="3"/>
      <c r="K1801" s="3"/>
      <c r="L1801" s="3"/>
      <c r="M1801" s="3"/>
      <c r="N1801" s="3"/>
    </row>
    <row r="1802" spans="3:14" x14ac:dyDescent="0.2">
      <c r="C1802" s="2"/>
      <c r="D1802" s="3"/>
      <c r="E1802" s="3"/>
      <c r="F1802" s="3"/>
      <c r="G1802" s="3"/>
      <c r="H1802" s="3"/>
      <c r="I1802" s="3"/>
      <c r="J1802" s="3"/>
      <c r="K1802" s="3"/>
      <c r="L1802" s="3"/>
      <c r="M1802" s="3"/>
      <c r="N1802" s="3"/>
    </row>
    <row r="1803" spans="3:14" x14ac:dyDescent="0.2">
      <c r="C1803" s="2"/>
      <c r="D1803" s="3"/>
      <c r="E1803" s="3"/>
      <c r="F1803" s="3"/>
      <c r="G1803" s="3"/>
      <c r="H1803" s="3"/>
      <c r="I1803" s="3"/>
      <c r="J1803" s="3"/>
      <c r="K1803" s="3"/>
      <c r="L1803" s="3"/>
      <c r="M1803" s="3"/>
      <c r="N1803" s="3"/>
    </row>
    <row r="1804" spans="3:14" x14ac:dyDescent="0.2">
      <c r="C1804" s="2"/>
      <c r="D1804" s="3"/>
      <c r="E1804" s="3"/>
      <c r="F1804" s="3"/>
      <c r="G1804" s="3"/>
      <c r="H1804" s="3"/>
      <c r="I1804" s="3"/>
      <c r="J1804" s="3"/>
      <c r="K1804" s="3"/>
      <c r="L1804" s="3"/>
      <c r="M1804" s="3"/>
      <c r="N1804" s="3"/>
    </row>
    <row r="1805" spans="3:14" x14ac:dyDescent="0.2">
      <c r="C1805" s="2"/>
      <c r="D1805" s="3"/>
      <c r="E1805" s="3"/>
      <c r="F1805" s="3"/>
      <c r="G1805" s="3"/>
      <c r="H1805" s="3"/>
      <c r="I1805" s="3"/>
      <c r="J1805" s="3"/>
      <c r="K1805" s="3"/>
      <c r="L1805" s="3"/>
      <c r="M1805" s="3"/>
      <c r="N1805" s="3"/>
    </row>
    <row r="1806" spans="3:14" x14ac:dyDescent="0.2">
      <c r="C1806" s="2"/>
      <c r="D1806" s="3"/>
      <c r="E1806" s="3"/>
      <c r="F1806" s="3"/>
      <c r="G1806" s="3"/>
      <c r="H1806" s="3"/>
      <c r="I1806" s="3"/>
      <c r="J1806" s="3"/>
      <c r="K1806" s="3"/>
      <c r="L1806" s="3"/>
      <c r="M1806" s="3"/>
      <c r="N1806" s="3"/>
    </row>
    <row r="1807" spans="3:14" x14ac:dyDescent="0.2">
      <c r="C1807" s="2"/>
      <c r="D1807" s="3"/>
      <c r="E1807" s="3"/>
      <c r="F1807" s="3"/>
      <c r="G1807" s="3"/>
      <c r="H1807" s="3"/>
      <c r="I1807" s="3"/>
      <c r="J1807" s="3"/>
      <c r="K1807" s="3"/>
      <c r="L1807" s="3"/>
      <c r="M1807" s="3"/>
      <c r="N1807" s="3"/>
    </row>
    <row r="1808" spans="3:14" x14ac:dyDescent="0.2">
      <c r="C1808" s="2"/>
      <c r="D1808" s="3"/>
      <c r="E1808" s="3"/>
      <c r="F1808" s="3"/>
      <c r="G1808" s="3"/>
      <c r="H1808" s="3"/>
      <c r="I1808" s="3"/>
      <c r="J1808" s="3"/>
      <c r="K1808" s="3"/>
      <c r="L1808" s="3"/>
      <c r="M1808" s="3"/>
      <c r="N1808" s="3"/>
    </row>
    <row r="1809" spans="3:14" x14ac:dyDescent="0.2">
      <c r="C1809" s="2"/>
      <c r="D1809" s="3"/>
      <c r="E1809" s="3"/>
      <c r="F1809" s="3"/>
      <c r="G1809" s="3"/>
      <c r="H1809" s="3"/>
      <c r="I1809" s="3"/>
      <c r="J1809" s="3"/>
      <c r="K1809" s="3"/>
      <c r="L1809" s="3"/>
      <c r="M1809" s="3"/>
      <c r="N1809" s="3"/>
    </row>
    <row r="1810" spans="3:14" x14ac:dyDescent="0.2">
      <c r="C1810" s="2"/>
      <c r="D1810" s="3"/>
      <c r="E1810" s="3"/>
      <c r="F1810" s="3"/>
      <c r="G1810" s="3"/>
      <c r="H1810" s="3"/>
      <c r="I1810" s="3"/>
      <c r="J1810" s="3"/>
      <c r="K1810" s="3"/>
      <c r="L1810" s="3"/>
      <c r="M1810" s="3"/>
      <c r="N1810" s="3"/>
    </row>
    <row r="1811" spans="3:14" x14ac:dyDescent="0.2">
      <c r="C1811" s="2"/>
      <c r="D1811" s="3"/>
      <c r="E1811" s="3"/>
      <c r="F1811" s="3"/>
      <c r="G1811" s="3"/>
      <c r="H1811" s="3"/>
      <c r="I1811" s="3"/>
      <c r="J1811" s="3"/>
      <c r="K1811" s="3"/>
      <c r="L1811" s="3"/>
      <c r="M1811" s="3"/>
      <c r="N1811" s="3"/>
    </row>
    <row r="1812" spans="3:14" x14ac:dyDescent="0.2">
      <c r="C1812" s="2"/>
      <c r="D1812" s="3"/>
      <c r="E1812" s="3"/>
      <c r="F1812" s="3"/>
      <c r="G1812" s="3"/>
      <c r="H1812" s="3"/>
      <c r="I1812" s="3"/>
      <c r="J1812" s="3"/>
      <c r="K1812" s="3"/>
      <c r="L1812" s="3"/>
      <c r="M1812" s="3"/>
      <c r="N1812" s="3"/>
    </row>
    <row r="1813" spans="3:14" x14ac:dyDescent="0.2">
      <c r="C1813" s="2"/>
      <c r="D1813" s="3"/>
      <c r="E1813" s="3"/>
      <c r="F1813" s="3"/>
      <c r="G1813" s="3"/>
      <c r="H1813" s="3"/>
      <c r="I1813" s="3"/>
      <c r="J1813" s="3"/>
      <c r="K1813" s="3"/>
      <c r="L1813" s="3"/>
      <c r="M1813" s="3"/>
      <c r="N1813" s="3"/>
    </row>
    <row r="1814" spans="3:14" x14ac:dyDescent="0.2">
      <c r="C1814" s="2"/>
      <c r="D1814" s="3"/>
      <c r="E1814" s="3"/>
      <c r="F1814" s="3"/>
      <c r="G1814" s="3"/>
      <c r="H1814" s="3"/>
      <c r="I1814" s="3"/>
      <c r="J1814" s="3"/>
      <c r="K1814" s="3"/>
      <c r="L1814" s="3"/>
      <c r="M1814" s="3"/>
      <c r="N1814" s="3"/>
    </row>
    <row r="1815" spans="3:14" x14ac:dyDescent="0.2">
      <c r="C1815" s="2"/>
      <c r="D1815" s="3"/>
      <c r="E1815" s="3"/>
      <c r="F1815" s="3"/>
      <c r="G1815" s="3"/>
      <c r="H1815" s="3"/>
      <c r="I1815" s="3"/>
      <c r="J1815" s="3"/>
      <c r="K1815" s="3"/>
      <c r="L1815" s="3"/>
      <c r="M1815" s="3"/>
      <c r="N1815" s="3"/>
    </row>
    <row r="1816" spans="3:14" x14ac:dyDescent="0.2">
      <c r="C1816" s="2"/>
      <c r="D1816" s="3"/>
      <c r="E1816" s="3"/>
      <c r="F1816" s="3"/>
      <c r="G1816" s="3"/>
      <c r="H1816" s="3"/>
      <c r="I1816" s="3"/>
      <c r="J1816" s="3"/>
      <c r="K1816" s="3"/>
      <c r="L1816" s="3"/>
      <c r="M1816" s="3"/>
      <c r="N1816" s="3"/>
    </row>
    <row r="1817" spans="3:14" x14ac:dyDescent="0.2">
      <c r="C1817" s="2"/>
      <c r="D1817" s="3"/>
      <c r="E1817" s="3"/>
      <c r="F1817" s="3"/>
      <c r="G1817" s="3"/>
      <c r="H1817" s="3"/>
      <c r="I1817" s="3"/>
      <c r="J1817" s="3"/>
      <c r="K1817" s="3"/>
      <c r="L1817" s="3"/>
      <c r="M1817" s="3"/>
      <c r="N1817" s="3"/>
    </row>
    <row r="1818" spans="3:14" x14ac:dyDescent="0.2">
      <c r="C1818" s="2"/>
      <c r="D1818" s="3"/>
      <c r="E1818" s="3"/>
      <c r="F1818" s="3"/>
      <c r="G1818" s="3"/>
      <c r="H1818" s="3"/>
      <c r="I1818" s="3"/>
      <c r="J1818" s="3"/>
      <c r="K1818" s="3"/>
      <c r="L1818" s="3"/>
      <c r="M1818" s="3"/>
      <c r="N1818" s="3"/>
    </row>
    <row r="1819" spans="3:14" x14ac:dyDescent="0.2">
      <c r="C1819" s="2"/>
      <c r="D1819" s="3"/>
      <c r="E1819" s="3"/>
      <c r="F1819" s="3"/>
      <c r="G1819" s="3"/>
      <c r="H1819" s="3"/>
      <c r="I1819" s="3"/>
      <c r="J1819" s="3"/>
      <c r="K1819" s="3"/>
      <c r="L1819" s="3"/>
      <c r="M1819" s="3"/>
      <c r="N1819" s="3"/>
    </row>
    <row r="1820" spans="3:14" x14ac:dyDescent="0.2">
      <c r="C1820" s="2"/>
      <c r="D1820" s="3"/>
      <c r="E1820" s="3"/>
      <c r="F1820" s="3"/>
      <c r="G1820" s="3"/>
      <c r="H1820" s="3"/>
      <c r="I1820" s="3"/>
      <c r="J1820" s="3"/>
      <c r="K1820" s="3"/>
      <c r="L1820" s="3"/>
      <c r="M1820" s="3"/>
      <c r="N1820" s="3"/>
    </row>
    <row r="1821" spans="3:14" x14ac:dyDescent="0.2">
      <c r="C1821" s="2"/>
      <c r="D1821" s="3"/>
      <c r="E1821" s="3"/>
      <c r="F1821" s="3"/>
      <c r="G1821" s="3"/>
      <c r="H1821" s="3"/>
      <c r="I1821" s="3"/>
      <c r="J1821" s="3"/>
      <c r="K1821" s="3"/>
      <c r="L1821" s="3"/>
      <c r="M1821" s="3"/>
      <c r="N1821" s="3"/>
    </row>
    <row r="1822" spans="3:14" x14ac:dyDescent="0.2">
      <c r="C1822" s="2"/>
      <c r="D1822" s="3"/>
      <c r="E1822" s="3"/>
      <c r="F1822" s="3"/>
      <c r="G1822" s="3"/>
      <c r="H1822" s="3"/>
      <c r="I1822" s="3"/>
      <c r="J1822" s="3"/>
      <c r="K1822" s="3"/>
      <c r="L1822" s="3"/>
      <c r="M1822" s="3"/>
      <c r="N1822" s="3"/>
    </row>
    <row r="1823" spans="3:14" x14ac:dyDescent="0.2">
      <c r="C1823" s="2"/>
      <c r="D1823" s="3"/>
      <c r="E1823" s="3"/>
      <c r="F1823" s="3"/>
      <c r="G1823" s="3"/>
      <c r="H1823" s="3"/>
      <c r="I1823" s="3"/>
      <c r="J1823" s="3"/>
      <c r="K1823" s="3"/>
      <c r="L1823" s="3"/>
      <c r="M1823" s="3"/>
      <c r="N1823" s="3"/>
    </row>
    <row r="1824" spans="3:14" x14ac:dyDescent="0.2">
      <c r="C1824" s="2"/>
      <c r="D1824" s="3"/>
      <c r="E1824" s="3"/>
      <c r="F1824" s="3"/>
      <c r="G1824" s="3"/>
      <c r="H1824" s="3"/>
      <c r="I1824" s="3"/>
      <c r="J1824" s="3"/>
      <c r="K1824" s="3"/>
      <c r="L1824" s="3"/>
      <c r="M1824" s="3"/>
      <c r="N1824" s="3"/>
    </row>
    <row r="1825" spans="3:14" x14ac:dyDescent="0.2">
      <c r="C1825" s="2"/>
      <c r="D1825" s="3"/>
      <c r="E1825" s="3"/>
      <c r="F1825" s="3"/>
      <c r="G1825" s="3"/>
      <c r="H1825" s="3"/>
      <c r="I1825" s="3"/>
      <c r="J1825" s="3"/>
      <c r="K1825" s="3"/>
      <c r="L1825" s="3"/>
      <c r="M1825" s="3"/>
      <c r="N1825" s="3"/>
    </row>
    <row r="1826" spans="3:14" x14ac:dyDescent="0.2">
      <c r="C1826" s="2"/>
      <c r="D1826" s="3"/>
      <c r="E1826" s="3"/>
      <c r="F1826" s="3"/>
      <c r="G1826" s="3"/>
      <c r="H1826" s="3"/>
      <c r="I1826" s="3"/>
      <c r="J1826" s="3"/>
      <c r="K1826" s="3"/>
      <c r="L1826" s="3"/>
      <c r="M1826" s="3"/>
      <c r="N1826" s="3"/>
    </row>
    <row r="1827" spans="3:14" x14ac:dyDescent="0.2">
      <c r="C1827" s="2"/>
      <c r="D1827" s="3"/>
      <c r="E1827" s="3"/>
      <c r="F1827" s="3"/>
      <c r="G1827" s="3"/>
      <c r="H1827" s="3"/>
      <c r="I1827" s="3"/>
      <c r="J1827" s="3"/>
      <c r="K1827" s="3"/>
      <c r="L1827" s="3"/>
      <c r="M1827" s="3"/>
      <c r="N1827" s="3"/>
    </row>
    <row r="1828" spans="3:14" x14ac:dyDescent="0.2">
      <c r="C1828" s="2"/>
      <c r="D1828" s="3"/>
      <c r="E1828" s="3"/>
      <c r="F1828" s="3"/>
      <c r="G1828" s="3"/>
      <c r="H1828" s="3"/>
      <c r="I1828" s="3"/>
      <c r="J1828" s="3"/>
      <c r="K1828" s="3"/>
      <c r="L1828" s="3"/>
      <c r="M1828" s="3"/>
      <c r="N1828" s="3"/>
    </row>
    <row r="1829" spans="3:14" x14ac:dyDescent="0.2">
      <c r="C1829" s="2"/>
      <c r="D1829" s="3"/>
      <c r="E1829" s="3"/>
      <c r="F1829" s="3"/>
      <c r="G1829" s="3"/>
      <c r="H1829" s="3"/>
      <c r="I1829" s="3"/>
      <c r="J1829" s="3"/>
      <c r="K1829" s="3"/>
      <c r="L1829" s="3"/>
      <c r="M1829" s="3"/>
      <c r="N1829" s="3"/>
    </row>
    <row r="1830" spans="3:14" x14ac:dyDescent="0.2">
      <c r="C1830" s="2"/>
      <c r="D1830" s="3"/>
      <c r="E1830" s="3"/>
      <c r="F1830" s="3"/>
      <c r="G1830" s="3"/>
      <c r="H1830" s="3"/>
      <c r="I1830" s="3"/>
      <c r="J1830" s="3"/>
      <c r="K1830" s="3"/>
      <c r="L1830" s="3"/>
      <c r="M1830" s="3"/>
      <c r="N1830" s="3"/>
    </row>
    <row r="1831" spans="3:14" x14ac:dyDescent="0.2">
      <c r="C1831" s="2"/>
      <c r="D1831" s="3"/>
      <c r="E1831" s="3"/>
      <c r="F1831" s="3"/>
      <c r="G1831" s="3"/>
      <c r="H1831" s="3"/>
      <c r="I1831" s="3"/>
      <c r="J1831" s="3"/>
      <c r="K1831" s="3"/>
      <c r="L1831" s="3"/>
      <c r="M1831" s="3"/>
      <c r="N1831" s="3"/>
    </row>
    <row r="1832" spans="3:14" x14ac:dyDescent="0.2">
      <c r="C1832" s="2"/>
      <c r="D1832" s="3"/>
      <c r="E1832" s="3"/>
      <c r="F1832" s="3"/>
      <c r="G1832" s="3"/>
      <c r="H1832" s="3"/>
      <c r="I1832" s="3"/>
      <c r="J1832" s="3"/>
      <c r="K1832" s="3"/>
      <c r="L1832" s="3"/>
      <c r="M1832" s="3"/>
      <c r="N1832" s="3"/>
    </row>
    <row r="1833" spans="3:14" x14ac:dyDescent="0.2">
      <c r="C1833" s="2"/>
      <c r="D1833" s="3"/>
      <c r="E1833" s="3"/>
      <c r="F1833" s="3"/>
      <c r="G1833" s="3"/>
      <c r="H1833" s="3"/>
      <c r="I1833" s="3"/>
      <c r="J1833" s="3"/>
      <c r="K1833" s="3"/>
      <c r="L1833" s="3"/>
      <c r="M1833" s="3"/>
      <c r="N1833" s="3"/>
    </row>
    <row r="1834" spans="3:14" x14ac:dyDescent="0.2">
      <c r="C1834" s="2"/>
      <c r="D1834" s="3"/>
      <c r="E1834" s="3"/>
      <c r="F1834" s="3"/>
      <c r="G1834" s="3"/>
      <c r="H1834" s="3"/>
      <c r="I1834" s="3"/>
      <c r="J1834" s="3"/>
      <c r="K1834" s="3"/>
      <c r="L1834" s="3"/>
      <c r="M1834" s="3"/>
      <c r="N1834" s="3"/>
    </row>
    <row r="1835" spans="3:14" x14ac:dyDescent="0.2">
      <c r="C1835" s="2"/>
      <c r="D1835" s="3"/>
      <c r="E1835" s="3"/>
      <c r="F1835" s="3"/>
      <c r="G1835" s="3"/>
      <c r="H1835" s="3"/>
      <c r="I1835" s="3"/>
      <c r="J1835" s="3"/>
      <c r="K1835" s="3"/>
      <c r="L1835" s="3"/>
      <c r="M1835" s="3"/>
      <c r="N1835" s="3"/>
    </row>
    <row r="1836" spans="3:14" x14ac:dyDescent="0.2">
      <c r="C1836" s="2"/>
      <c r="D1836" s="3"/>
      <c r="E1836" s="3"/>
      <c r="F1836" s="3"/>
      <c r="G1836" s="3"/>
      <c r="H1836" s="3"/>
      <c r="I1836" s="3"/>
      <c r="J1836" s="3"/>
      <c r="K1836" s="3"/>
      <c r="L1836" s="3"/>
      <c r="M1836" s="3"/>
      <c r="N1836" s="3"/>
    </row>
    <row r="1837" spans="3:14" x14ac:dyDescent="0.2">
      <c r="C1837" s="2"/>
      <c r="D1837" s="3"/>
      <c r="E1837" s="3"/>
      <c r="F1837" s="3"/>
      <c r="G1837" s="3"/>
      <c r="H1837" s="3"/>
      <c r="I1837" s="3"/>
      <c r="J1837" s="3"/>
      <c r="K1837" s="3"/>
      <c r="L1837" s="3"/>
      <c r="M1837" s="3"/>
      <c r="N1837" s="3"/>
    </row>
    <row r="1838" spans="3:14" x14ac:dyDescent="0.2">
      <c r="C1838" s="2"/>
      <c r="D1838" s="3"/>
      <c r="E1838" s="3"/>
      <c r="F1838" s="3"/>
      <c r="G1838" s="3"/>
      <c r="H1838" s="3"/>
      <c r="I1838" s="3"/>
      <c r="J1838" s="3"/>
      <c r="K1838" s="3"/>
      <c r="L1838" s="3"/>
      <c r="M1838" s="3"/>
      <c r="N1838" s="3"/>
    </row>
    <row r="1839" spans="3:14" x14ac:dyDescent="0.2">
      <c r="C1839" s="2"/>
      <c r="D1839" s="3"/>
      <c r="E1839" s="3"/>
      <c r="F1839" s="3"/>
      <c r="G1839" s="3"/>
      <c r="H1839" s="3"/>
      <c r="I1839" s="3"/>
      <c r="J1839" s="3"/>
      <c r="K1839" s="3"/>
      <c r="L1839" s="3"/>
      <c r="M1839" s="3"/>
      <c r="N1839" s="3"/>
    </row>
    <row r="1840" spans="3:14" x14ac:dyDescent="0.2">
      <c r="C1840" s="2"/>
      <c r="D1840" s="3"/>
      <c r="E1840" s="3"/>
      <c r="F1840" s="3"/>
      <c r="G1840" s="3"/>
      <c r="H1840" s="3"/>
      <c r="I1840" s="3"/>
      <c r="J1840" s="3"/>
      <c r="K1840" s="3"/>
      <c r="L1840" s="3"/>
      <c r="M1840" s="3"/>
      <c r="N1840" s="3"/>
    </row>
    <row r="1841" spans="3:14" x14ac:dyDescent="0.2">
      <c r="C1841" s="2"/>
      <c r="D1841" s="3"/>
      <c r="E1841" s="3"/>
      <c r="F1841" s="3"/>
      <c r="G1841" s="3"/>
      <c r="H1841" s="3"/>
      <c r="I1841" s="3"/>
      <c r="J1841" s="3"/>
      <c r="K1841" s="3"/>
      <c r="L1841" s="3"/>
      <c r="M1841" s="3"/>
      <c r="N1841" s="3"/>
    </row>
    <row r="1842" spans="3:14" x14ac:dyDescent="0.2">
      <c r="C1842" s="2"/>
      <c r="D1842" s="3"/>
      <c r="E1842" s="3"/>
      <c r="F1842" s="3"/>
      <c r="G1842" s="3"/>
      <c r="H1842" s="3"/>
      <c r="I1842" s="3"/>
      <c r="J1842" s="3"/>
      <c r="K1842" s="3"/>
      <c r="L1842" s="3"/>
      <c r="M1842" s="3"/>
      <c r="N1842" s="3"/>
    </row>
    <row r="1843" spans="3:14" x14ac:dyDescent="0.2">
      <c r="C1843" s="2"/>
      <c r="D1843" s="3"/>
      <c r="E1843" s="3"/>
      <c r="F1843" s="3"/>
      <c r="G1843" s="3"/>
      <c r="H1843" s="3"/>
      <c r="I1843" s="3"/>
      <c r="J1843" s="3"/>
      <c r="K1843" s="3"/>
      <c r="L1843" s="3"/>
      <c r="M1843" s="3"/>
      <c r="N1843" s="3"/>
    </row>
    <row r="1844" spans="3:14" x14ac:dyDescent="0.2">
      <c r="C1844" s="2"/>
      <c r="D1844" s="3"/>
      <c r="E1844" s="3"/>
      <c r="F1844" s="3"/>
      <c r="G1844" s="3"/>
      <c r="H1844" s="3"/>
      <c r="I1844" s="3"/>
      <c r="J1844" s="3"/>
      <c r="K1844" s="3"/>
      <c r="L1844" s="3"/>
      <c r="M1844" s="3"/>
      <c r="N1844" s="3"/>
    </row>
    <row r="1845" spans="3:14" x14ac:dyDescent="0.2">
      <c r="C1845" s="2"/>
      <c r="D1845" s="3"/>
      <c r="E1845" s="3"/>
      <c r="F1845" s="3"/>
      <c r="G1845" s="3"/>
      <c r="H1845" s="3"/>
      <c r="I1845" s="3"/>
      <c r="J1845" s="3"/>
      <c r="K1845" s="3"/>
      <c r="L1845" s="3"/>
      <c r="M1845" s="3"/>
      <c r="N1845" s="3"/>
    </row>
    <row r="1846" spans="3:14" x14ac:dyDescent="0.2">
      <c r="C1846" s="2"/>
      <c r="D1846" s="3"/>
      <c r="E1846" s="3"/>
      <c r="F1846" s="3"/>
      <c r="G1846" s="3"/>
      <c r="H1846" s="3"/>
      <c r="I1846" s="3"/>
      <c r="J1846" s="3"/>
      <c r="K1846" s="3"/>
      <c r="L1846" s="3"/>
      <c r="M1846" s="3"/>
      <c r="N1846" s="3"/>
    </row>
    <row r="1847" spans="3:14" x14ac:dyDescent="0.2">
      <c r="C1847" s="2"/>
      <c r="D1847" s="3"/>
      <c r="E1847" s="3"/>
      <c r="F1847" s="3"/>
      <c r="G1847" s="3"/>
      <c r="H1847" s="3"/>
      <c r="I1847" s="3"/>
      <c r="J1847" s="3"/>
      <c r="K1847" s="3"/>
      <c r="L1847" s="3"/>
      <c r="M1847" s="3"/>
      <c r="N1847" s="3"/>
    </row>
    <row r="1848" spans="3:14" x14ac:dyDescent="0.2">
      <c r="C1848" s="2"/>
      <c r="D1848" s="3"/>
      <c r="E1848" s="3"/>
      <c r="F1848" s="3"/>
      <c r="G1848" s="3"/>
      <c r="H1848" s="3"/>
      <c r="I1848" s="3"/>
      <c r="J1848" s="3"/>
      <c r="K1848" s="3"/>
      <c r="L1848" s="3"/>
      <c r="M1848" s="3"/>
      <c r="N1848" s="3"/>
    </row>
    <row r="1849" spans="3:14" x14ac:dyDescent="0.2">
      <c r="C1849" s="2"/>
      <c r="D1849" s="3"/>
      <c r="E1849" s="3"/>
      <c r="F1849" s="3"/>
      <c r="G1849" s="3"/>
      <c r="H1849" s="3"/>
      <c r="I1849" s="3"/>
      <c r="J1849" s="3"/>
      <c r="K1849" s="3"/>
      <c r="L1849" s="3"/>
      <c r="M1849" s="3"/>
      <c r="N1849" s="3"/>
    </row>
    <row r="1850" spans="3:14" x14ac:dyDescent="0.2">
      <c r="C1850" s="2"/>
      <c r="D1850" s="3"/>
      <c r="E1850" s="3"/>
      <c r="F1850" s="3"/>
      <c r="G1850" s="3"/>
      <c r="H1850" s="3"/>
      <c r="I1850" s="3"/>
      <c r="J1850" s="3"/>
      <c r="K1850" s="3"/>
      <c r="L1850" s="3"/>
      <c r="M1850" s="3"/>
      <c r="N1850" s="3"/>
    </row>
    <row r="1851" spans="3:14" x14ac:dyDescent="0.2">
      <c r="C1851" s="2"/>
      <c r="D1851" s="3"/>
      <c r="E1851" s="3"/>
      <c r="F1851" s="3"/>
      <c r="G1851" s="3"/>
      <c r="H1851" s="3"/>
      <c r="I1851" s="3"/>
      <c r="J1851" s="3"/>
      <c r="K1851" s="3"/>
      <c r="L1851" s="3"/>
      <c r="M1851" s="3"/>
      <c r="N1851" s="3"/>
    </row>
    <row r="1852" spans="3:14" x14ac:dyDescent="0.2">
      <c r="C1852" s="2"/>
      <c r="D1852" s="3"/>
      <c r="E1852" s="3"/>
      <c r="F1852" s="3"/>
      <c r="G1852" s="3"/>
      <c r="H1852" s="3"/>
      <c r="I1852" s="3"/>
      <c r="J1852" s="3"/>
      <c r="K1852" s="3"/>
      <c r="L1852" s="3"/>
      <c r="M1852" s="3"/>
      <c r="N1852" s="3"/>
    </row>
    <row r="1853" spans="3:14" x14ac:dyDescent="0.2">
      <c r="C1853" s="2"/>
      <c r="D1853" s="3"/>
      <c r="E1853" s="3"/>
      <c r="F1853" s="3"/>
      <c r="G1853" s="3"/>
      <c r="H1853" s="3"/>
      <c r="I1853" s="3"/>
      <c r="J1853" s="3"/>
      <c r="K1853" s="3"/>
      <c r="L1853" s="3"/>
      <c r="M1853" s="3"/>
      <c r="N1853" s="3"/>
    </row>
    <row r="1854" spans="3:14" x14ac:dyDescent="0.2">
      <c r="C1854" s="2"/>
      <c r="D1854" s="3"/>
      <c r="E1854" s="3"/>
      <c r="F1854" s="3"/>
      <c r="G1854" s="3"/>
      <c r="H1854" s="3"/>
      <c r="I1854" s="3"/>
      <c r="J1854" s="3"/>
      <c r="K1854" s="3"/>
      <c r="L1854" s="3"/>
      <c r="M1854" s="3"/>
      <c r="N1854" s="3"/>
    </row>
    <row r="1855" spans="3:14" x14ac:dyDescent="0.2">
      <c r="C1855" s="2"/>
      <c r="D1855" s="3"/>
      <c r="E1855" s="3"/>
      <c r="F1855" s="3"/>
      <c r="G1855" s="3"/>
      <c r="H1855" s="3"/>
      <c r="I1855" s="3"/>
      <c r="J1855" s="3"/>
      <c r="K1855" s="3"/>
      <c r="L1855" s="3"/>
      <c r="M1855" s="3"/>
      <c r="N1855" s="3"/>
    </row>
    <row r="1856" spans="3:14" x14ac:dyDescent="0.2">
      <c r="C1856" s="2"/>
      <c r="D1856" s="3"/>
      <c r="E1856" s="3"/>
      <c r="F1856" s="3"/>
      <c r="G1856" s="3"/>
      <c r="H1856" s="3"/>
      <c r="I1856" s="3"/>
      <c r="J1856" s="3"/>
      <c r="K1856" s="3"/>
      <c r="L1856" s="3"/>
      <c r="M1856" s="3"/>
      <c r="N1856" s="3"/>
    </row>
    <row r="1857" spans="3:14" x14ac:dyDescent="0.2">
      <c r="C1857" s="2"/>
      <c r="D1857" s="3"/>
      <c r="E1857" s="3"/>
      <c r="F1857" s="3"/>
      <c r="G1857" s="3"/>
      <c r="H1857" s="3"/>
      <c r="I1857" s="3"/>
      <c r="J1857" s="3"/>
      <c r="K1857" s="3"/>
      <c r="L1857" s="3"/>
      <c r="M1857" s="3"/>
      <c r="N1857" s="3"/>
    </row>
    <row r="1858" spans="3:14" x14ac:dyDescent="0.2">
      <c r="C1858" s="2"/>
      <c r="D1858" s="3"/>
      <c r="E1858" s="3"/>
      <c r="F1858" s="3"/>
      <c r="G1858" s="3"/>
      <c r="H1858" s="3"/>
      <c r="I1858" s="3"/>
      <c r="J1858" s="3"/>
      <c r="K1858" s="3"/>
      <c r="L1858" s="3"/>
      <c r="M1858" s="3"/>
      <c r="N1858" s="3"/>
    </row>
    <row r="1859" spans="3:14" x14ac:dyDescent="0.2">
      <c r="C1859" s="2"/>
      <c r="D1859" s="3"/>
      <c r="E1859" s="3"/>
      <c r="F1859" s="3"/>
      <c r="G1859" s="3"/>
      <c r="H1859" s="3"/>
      <c r="I1859" s="3"/>
      <c r="J1859" s="3"/>
      <c r="K1859" s="3"/>
      <c r="L1859" s="3"/>
      <c r="M1859" s="3"/>
      <c r="N1859" s="3"/>
    </row>
    <row r="1860" spans="3:14" x14ac:dyDescent="0.2">
      <c r="C1860" s="2"/>
      <c r="D1860" s="3"/>
      <c r="E1860" s="3"/>
      <c r="F1860" s="3"/>
      <c r="G1860" s="3"/>
      <c r="H1860" s="3"/>
      <c r="I1860" s="3"/>
      <c r="J1860" s="3"/>
      <c r="K1860" s="3"/>
      <c r="L1860" s="3"/>
      <c r="M1860" s="3"/>
      <c r="N1860" s="3"/>
    </row>
    <row r="1861" spans="3:14" x14ac:dyDescent="0.2">
      <c r="C1861" s="2"/>
      <c r="D1861" s="3"/>
      <c r="E1861" s="3"/>
      <c r="F1861" s="3"/>
      <c r="G1861" s="3"/>
      <c r="H1861" s="3"/>
      <c r="I1861" s="3"/>
      <c r="J1861" s="3"/>
      <c r="K1861" s="3"/>
      <c r="L1861" s="3"/>
      <c r="M1861" s="3"/>
      <c r="N1861" s="3"/>
    </row>
    <row r="1862" spans="3:14" x14ac:dyDescent="0.2">
      <c r="C1862" s="2"/>
      <c r="D1862" s="3"/>
      <c r="E1862" s="3"/>
      <c r="F1862" s="3"/>
      <c r="G1862" s="3"/>
      <c r="H1862" s="3"/>
      <c r="I1862" s="3"/>
      <c r="J1862" s="3"/>
      <c r="K1862" s="3"/>
      <c r="L1862" s="3"/>
      <c r="M1862" s="3"/>
      <c r="N1862" s="3"/>
    </row>
    <row r="1863" spans="3:14" x14ac:dyDescent="0.2">
      <c r="C1863" s="2"/>
      <c r="D1863" s="3"/>
      <c r="E1863" s="3"/>
      <c r="F1863" s="3"/>
      <c r="G1863" s="3"/>
      <c r="H1863" s="3"/>
      <c r="I1863" s="3"/>
      <c r="J1863" s="3"/>
      <c r="K1863" s="3"/>
      <c r="L1863" s="3"/>
      <c r="M1863" s="3"/>
      <c r="N1863" s="3"/>
    </row>
    <row r="1864" spans="3:14" x14ac:dyDescent="0.2">
      <c r="C1864" s="2"/>
      <c r="D1864" s="3"/>
      <c r="E1864" s="3"/>
      <c r="F1864" s="3"/>
      <c r="G1864" s="3"/>
      <c r="H1864" s="3"/>
      <c r="I1864" s="3"/>
      <c r="J1864" s="3"/>
      <c r="K1864" s="3"/>
      <c r="L1864" s="3"/>
      <c r="M1864" s="3"/>
      <c r="N1864" s="3"/>
    </row>
    <row r="1865" spans="3:14" x14ac:dyDescent="0.2">
      <c r="C1865" s="2"/>
      <c r="D1865" s="3"/>
      <c r="E1865" s="3"/>
      <c r="F1865" s="3"/>
      <c r="G1865" s="3"/>
      <c r="H1865" s="3"/>
      <c r="I1865" s="3"/>
      <c r="J1865" s="3"/>
      <c r="K1865" s="3"/>
      <c r="L1865" s="3"/>
      <c r="M1865" s="3"/>
      <c r="N1865" s="3"/>
    </row>
    <row r="1866" spans="3:14" x14ac:dyDescent="0.2">
      <c r="C1866" s="2"/>
      <c r="D1866" s="3"/>
      <c r="E1866" s="3"/>
      <c r="F1866" s="3"/>
      <c r="G1866" s="3"/>
      <c r="H1866" s="3"/>
      <c r="I1866" s="3"/>
      <c r="J1866" s="3"/>
      <c r="K1866" s="3"/>
      <c r="L1866" s="3"/>
      <c r="M1866" s="3"/>
      <c r="N1866" s="3"/>
    </row>
    <row r="1867" spans="3:14" x14ac:dyDescent="0.2">
      <c r="C1867" s="2"/>
      <c r="D1867" s="3"/>
      <c r="E1867" s="3"/>
      <c r="F1867" s="3"/>
      <c r="G1867" s="3"/>
      <c r="H1867" s="3"/>
      <c r="I1867" s="3"/>
      <c r="J1867" s="3"/>
      <c r="K1867" s="3"/>
      <c r="L1867" s="3"/>
      <c r="M1867" s="3"/>
      <c r="N1867" s="3"/>
    </row>
    <row r="1868" spans="3:14" x14ac:dyDescent="0.2">
      <c r="C1868" s="2"/>
      <c r="D1868" s="3"/>
      <c r="E1868" s="3"/>
      <c r="F1868" s="3"/>
      <c r="G1868" s="3"/>
      <c r="H1868" s="3"/>
      <c r="I1868" s="3"/>
      <c r="J1868" s="3"/>
      <c r="K1868" s="3"/>
      <c r="L1868" s="3"/>
      <c r="M1868" s="3"/>
      <c r="N1868" s="3"/>
    </row>
    <row r="1869" spans="3:14" x14ac:dyDescent="0.2">
      <c r="C1869" s="2"/>
      <c r="D1869" s="3"/>
      <c r="E1869" s="3"/>
      <c r="F1869" s="3"/>
      <c r="G1869" s="3"/>
      <c r="H1869" s="3"/>
      <c r="I1869" s="3"/>
      <c r="J1869" s="3"/>
      <c r="K1869" s="3"/>
      <c r="L1869" s="3"/>
      <c r="M1869" s="3"/>
      <c r="N1869" s="3"/>
    </row>
  </sheetData>
  <autoFilter ref="B10:N408" xr:uid="{526778E4-49DC-9844-A637-D39936A40E00}"/>
  <mergeCells count="9">
    <mergeCell ref="B9:M9"/>
    <mergeCell ref="AB54:AC54"/>
    <mergeCell ref="Y54:Z54"/>
    <mergeCell ref="AB9:AC9"/>
    <mergeCell ref="T54:U54"/>
    <mergeCell ref="P37:Q37"/>
    <mergeCell ref="T9:U9"/>
    <mergeCell ref="W9:Z9"/>
    <mergeCell ref="P9:R9"/>
  </mergeCells>
  <conditionalFormatting sqref="Z3:Z8">
    <cfRule type="cellIs" dxfId="0" priority="1" operator="equal">
      <formula>0</formula>
    </cfRule>
  </conditionalFormatting>
  <pageMargins left="0.7" right="0.7" top="0.75" bottom="0.75" header="0.3" footer="0.3"/>
  <pageSetup paperSize="9" orientation="portrait" horizontalDpi="0" verticalDpi="0"/>
  <headerFooter>
    <oddFooter>&amp;C_x000D_&amp;1#&amp;"Calibri"&amp;10&amp;K000000 AXA IM - RESTRICTED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18778-C01D-A14C-8E48-39AB15D4800A}">
  <sheetPr codeName="Sheet5">
    <tabColor theme="5" tint="0.59999389629810485"/>
  </sheetPr>
  <dimension ref="A1:O46"/>
  <sheetViews>
    <sheetView showGridLines="0" workbookViewId="0">
      <selection activeCell="E27" sqref="E27"/>
    </sheetView>
  </sheetViews>
  <sheetFormatPr baseColWidth="10" defaultColWidth="10.83203125" defaultRowHeight="16" x14ac:dyDescent="0.2"/>
  <cols>
    <col min="1" max="1" width="16.5" style="3" bestFit="1" customWidth="1"/>
    <col min="2" max="14" width="30.6640625" style="3" customWidth="1"/>
    <col min="15" max="15" width="28.6640625" style="3" customWidth="1"/>
    <col min="16" max="16" width="10.5" style="3" bestFit="1" customWidth="1"/>
    <col min="17" max="16384" width="10.83203125" style="3"/>
  </cols>
  <sheetData>
    <row r="1" spans="1:15" x14ac:dyDescent="0.2">
      <c r="A1" s="49" t="s">
        <v>80</v>
      </c>
      <c r="B1" s="10" t="s">
        <v>156</v>
      </c>
      <c r="C1" s="10" t="s">
        <v>157</v>
      </c>
      <c r="D1" s="10" t="s">
        <v>158</v>
      </c>
      <c r="E1" s="10" t="s">
        <v>159</v>
      </c>
      <c r="F1" s="10" t="s">
        <v>160</v>
      </c>
      <c r="G1" s="10" t="s">
        <v>173</v>
      </c>
      <c r="H1" s="10" t="s">
        <v>23</v>
      </c>
      <c r="I1" s="10" t="s">
        <v>24</v>
      </c>
      <c r="J1" s="10" t="s">
        <v>25</v>
      </c>
      <c r="K1" s="10" t="s">
        <v>161</v>
      </c>
      <c r="L1" s="10" t="s">
        <v>162</v>
      </c>
      <c r="M1" s="10" t="s">
        <v>163</v>
      </c>
      <c r="N1" s="10"/>
      <c r="O1" s="10"/>
    </row>
    <row r="2" spans="1:15" x14ac:dyDescent="0.2">
      <c r="A2" s="50" t="s">
        <v>134</v>
      </c>
      <c r="B2" s="10" t="s">
        <v>116</v>
      </c>
      <c r="C2" s="10" t="s">
        <v>117</v>
      </c>
      <c r="D2" s="10" t="s">
        <v>118</v>
      </c>
      <c r="E2" s="10" t="s">
        <v>119</v>
      </c>
      <c r="F2" s="10" t="s">
        <v>168</v>
      </c>
      <c r="G2" s="10" t="s">
        <v>120</v>
      </c>
      <c r="H2" s="10" t="s">
        <v>121</v>
      </c>
      <c r="I2" s="10" t="s">
        <v>122</v>
      </c>
      <c r="J2" s="10" t="s">
        <v>123</v>
      </c>
      <c r="K2" s="10" t="s">
        <v>135</v>
      </c>
      <c r="L2" s="10" t="s">
        <v>151</v>
      </c>
      <c r="M2" s="10" t="s">
        <v>26</v>
      </c>
      <c r="N2" s="10"/>
      <c r="O2" s="10"/>
    </row>
    <row r="3" spans="1:15" x14ac:dyDescent="0.2">
      <c r="A3" s="100" t="s">
        <v>79</v>
      </c>
      <c r="B3" s="17" t="s">
        <v>129</v>
      </c>
      <c r="C3" s="17" t="s">
        <v>126</v>
      </c>
      <c r="D3" s="17" t="s">
        <v>127</v>
      </c>
      <c r="E3" s="17" t="s">
        <v>128</v>
      </c>
      <c r="F3" s="17" t="s">
        <v>129</v>
      </c>
      <c r="G3" s="17" t="s">
        <v>129</v>
      </c>
      <c r="H3" s="17" t="s">
        <v>126</v>
      </c>
      <c r="I3" s="17" t="s">
        <v>127</v>
      </c>
      <c r="J3" s="17" t="s">
        <v>128</v>
      </c>
      <c r="K3" s="17" t="s">
        <v>129</v>
      </c>
      <c r="L3" s="17" t="s">
        <v>129</v>
      </c>
      <c r="M3" s="17" t="s">
        <v>130</v>
      </c>
      <c r="N3" s="17"/>
      <c r="O3" s="18"/>
    </row>
    <row r="4" spans="1:15" x14ac:dyDescent="0.2">
      <c r="A4" s="101"/>
      <c r="B4" s="43"/>
      <c r="C4" s="10"/>
      <c r="D4" s="10"/>
      <c r="E4" s="10"/>
      <c r="F4" s="10" t="s">
        <v>127</v>
      </c>
      <c r="G4" s="10" t="s">
        <v>126</v>
      </c>
      <c r="H4" s="10"/>
      <c r="I4" s="10"/>
      <c r="J4" s="10"/>
      <c r="K4" s="10" t="s">
        <v>126</v>
      </c>
      <c r="L4" s="10" t="s">
        <v>126</v>
      </c>
      <c r="M4" s="10"/>
      <c r="N4" s="10"/>
      <c r="O4" s="19"/>
    </row>
    <row r="5" spans="1:15" x14ac:dyDescent="0.2">
      <c r="A5" s="101"/>
      <c r="B5" s="10"/>
      <c r="C5" s="10"/>
      <c r="D5" s="10"/>
      <c r="E5" s="10"/>
      <c r="F5" s="10"/>
      <c r="G5" s="10" t="s">
        <v>127</v>
      </c>
      <c r="H5" s="10"/>
      <c r="I5" s="10"/>
      <c r="J5" s="10"/>
      <c r="K5" s="10" t="s">
        <v>127</v>
      </c>
      <c r="L5" s="10" t="s">
        <v>127</v>
      </c>
      <c r="M5" s="10"/>
      <c r="N5" s="10"/>
      <c r="O5" s="19"/>
    </row>
    <row r="6" spans="1:15" x14ac:dyDescent="0.2">
      <c r="A6" s="101"/>
      <c r="B6" s="10"/>
      <c r="C6" s="10"/>
      <c r="D6" s="10"/>
      <c r="E6" s="10"/>
      <c r="F6" s="10"/>
      <c r="G6" s="10" t="s">
        <v>128</v>
      </c>
      <c r="H6" s="10"/>
      <c r="I6" s="10"/>
      <c r="J6" s="10"/>
      <c r="K6" s="10" t="s">
        <v>128</v>
      </c>
      <c r="L6" s="10" t="s">
        <v>128</v>
      </c>
      <c r="M6" s="10"/>
      <c r="N6" s="10"/>
      <c r="O6" s="19"/>
    </row>
    <row r="7" spans="1:15" x14ac:dyDescent="0.2">
      <c r="A7" s="101"/>
      <c r="B7" s="10"/>
      <c r="C7" s="10"/>
      <c r="D7" s="10"/>
      <c r="E7" s="10"/>
      <c r="F7" s="10"/>
      <c r="G7" s="10" t="s">
        <v>130</v>
      </c>
      <c r="H7" s="10"/>
      <c r="I7" s="10"/>
      <c r="J7" s="10"/>
      <c r="K7" s="10" t="s">
        <v>130</v>
      </c>
      <c r="L7" s="10" t="s">
        <v>130</v>
      </c>
      <c r="M7" s="10"/>
      <c r="N7" s="10"/>
      <c r="O7" s="19"/>
    </row>
    <row r="8" spans="1:15" x14ac:dyDescent="0.2">
      <c r="A8" s="51" t="s">
        <v>83</v>
      </c>
      <c r="B8" s="22" t="s">
        <v>19</v>
      </c>
      <c r="C8" s="22" t="s">
        <v>19</v>
      </c>
      <c r="D8" s="22" t="s">
        <v>19</v>
      </c>
      <c r="E8" s="22" t="s">
        <v>19</v>
      </c>
      <c r="F8" s="22" t="s">
        <v>20</v>
      </c>
      <c r="G8" s="22"/>
      <c r="H8" s="22" t="s">
        <v>21</v>
      </c>
      <c r="I8" s="22" t="s">
        <v>21</v>
      </c>
      <c r="J8" s="22" t="s">
        <v>21</v>
      </c>
      <c r="K8" s="22" t="s">
        <v>20</v>
      </c>
      <c r="L8" s="22"/>
      <c r="M8" s="22" t="s">
        <v>22</v>
      </c>
      <c r="N8" s="22"/>
      <c r="O8" s="23"/>
    </row>
    <row r="9" spans="1:15" x14ac:dyDescent="0.2">
      <c r="A9" s="52" t="s">
        <v>81</v>
      </c>
      <c r="B9" s="24" t="s">
        <v>27</v>
      </c>
      <c r="C9" s="24" t="s">
        <v>28</v>
      </c>
      <c r="D9" s="24" t="s">
        <v>29</v>
      </c>
      <c r="E9" s="24" t="s">
        <v>30</v>
      </c>
      <c r="F9" s="24" t="s">
        <v>31</v>
      </c>
      <c r="G9" s="24" t="s">
        <v>32</v>
      </c>
      <c r="H9" s="24" t="s">
        <v>33</v>
      </c>
      <c r="I9" s="24" t="s">
        <v>34</v>
      </c>
      <c r="J9" s="24" t="s">
        <v>42</v>
      </c>
      <c r="K9" s="24" t="s">
        <v>136</v>
      </c>
      <c r="L9" s="24" t="s">
        <v>53</v>
      </c>
      <c r="M9" s="24" t="s">
        <v>55</v>
      </c>
      <c r="N9" s="24"/>
      <c r="O9" s="25"/>
    </row>
    <row r="10" spans="1:15" x14ac:dyDescent="0.2">
      <c r="A10" s="44" t="s">
        <v>82</v>
      </c>
      <c r="B10" s="45" t="s">
        <v>36</v>
      </c>
      <c r="C10" s="45" t="s">
        <v>37</v>
      </c>
      <c r="D10" s="45" t="s">
        <v>45</v>
      </c>
      <c r="E10" s="45" t="s">
        <v>38</v>
      </c>
      <c r="F10" s="3" t="s">
        <v>42</v>
      </c>
      <c r="G10" s="45" t="s">
        <v>39</v>
      </c>
      <c r="H10" s="45" t="s">
        <v>40</v>
      </c>
      <c r="I10" s="45" t="s">
        <v>35</v>
      </c>
      <c r="J10" s="45" t="s">
        <v>149</v>
      </c>
      <c r="K10" s="45" t="s">
        <v>35</v>
      </c>
      <c r="L10" s="45" t="s">
        <v>40</v>
      </c>
      <c r="M10" s="82" t="s">
        <v>37</v>
      </c>
      <c r="N10" s="45"/>
      <c r="O10" s="46"/>
    </row>
    <row r="11" spans="1:15" x14ac:dyDescent="0.2">
      <c r="A11" s="47"/>
      <c r="B11" s="3" t="s">
        <v>43</v>
      </c>
      <c r="C11" s="3" t="s">
        <v>44</v>
      </c>
      <c r="D11" s="3" t="s">
        <v>53</v>
      </c>
      <c r="E11" s="3" t="s">
        <v>49</v>
      </c>
      <c r="F11" s="3" t="s">
        <v>50</v>
      </c>
      <c r="G11" s="3" t="s">
        <v>51</v>
      </c>
      <c r="H11" s="3" t="s">
        <v>50</v>
      </c>
      <c r="I11" s="3" t="s">
        <v>41</v>
      </c>
      <c r="J11" s="3" t="s">
        <v>46</v>
      </c>
      <c r="K11" s="3" t="s">
        <v>136</v>
      </c>
      <c r="L11" s="3" t="s">
        <v>34</v>
      </c>
      <c r="M11" s="11" t="s">
        <v>51</v>
      </c>
      <c r="O11" s="48"/>
    </row>
    <row r="12" spans="1:15" x14ac:dyDescent="0.2">
      <c r="A12" s="47"/>
      <c r="B12" s="3" t="s">
        <v>47</v>
      </c>
      <c r="C12" s="3" t="s">
        <v>48</v>
      </c>
      <c r="D12" s="3" t="s">
        <v>68</v>
      </c>
      <c r="E12" s="3" t="s">
        <v>58</v>
      </c>
      <c r="F12" s="3" t="s">
        <v>55</v>
      </c>
      <c r="G12" s="3" t="s">
        <v>29</v>
      </c>
      <c r="H12" s="3" t="s">
        <v>32</v>
      </c>
      <c r="I12" s="3" t="s">
        <v>53</v>
      </c>
      <c r="J12" s="3" t="s">
        <v>51</v>
      </c>
      <c r="K12" s="3" t="s">
        <v>40</v>
      </c>
      <c r="L12" s="3" t="s">
        <v>41</v>
      </c>
      <c r="M12" s="11" t="s">
        <v>61</v>
      </c>
      <c r="O12" s="48"/>
    </row>
    <row r="13" spans="1:15" x14ac:dyDescent="0.2">
      <c r="A13" s="47"/>
      <c r="B13" s="3" t="s">
        <v>59</v>
      </c>
      <c r="C13" s="10" t="s">
        <v>148</v>
      </c>
      <c r="D13" s="3" t="s">
        <v>57</v>
      </c>
      <c r="E13" s="3" t="s">
        <v>54</v>
      </c>
      <c r="F13" s="3" t="s">
        <v>36</v>
      </c>
      <c r="G13" s="3" t="s">
        <v>49</v>
      </c>
      <c r="H13" s="3" t="s">
        <v>47</v>
      </c>
      <c r="I13" s="3" t="s">
        <v>49</v>
      </c>
      <c r="J13" s="3" t="s">
        <v>150</v>
      </c>
      <c r="K13" s="3" t="s">
        <v>41</v>
      </c>
      <c r="L13" s="3" t="s">
        <v>152</v>
      </c>
      <c r="M13" s="11" t="s">
        <v>32</v>
      </c>
      <c r="O13" s="48"/>
    </row>
    <row r="14" spans="1:15" x14ac:dyDescent="0.2">
      <c r="A14" s="47"/>
      <c r="B14" s="3" t="s">
        <v>63</v>
      </c>
      <c r="C14" s="3" t="s">
        <v>62</v>
      </c>
      <c r="D14" s="3" t="s">
        <v>60</v>
      </c>
      <c r="E14" s="3" t="s">
        <v>56</v>
      </c>
      <c r="F14" s="3" t="s">
        <v>61</v>
      </c>
      <c r="G14" s="3" t="s">
        <v>54</v>
      </c>
      <c r="H14" s="3" t="s">
        <v>56</v>
      </c>
      <c r="I14" s="3" t="s">
        <v>65</v>
      </c>
      <c r="J14" s="3" t="s">
        <v>52</v>
      </c>
      <c r="K14" s="3" t="s">
        <v>152</v>
      </c>
      <c r="L14" s="3" t="s">
        <v>150</v>
      </c>
      <c r="M14" s="11" t="s">
        <v>29</v>
      </c>
      <c r="O14" s="48"/>
    </row>
    <row r="15" spans="1:15" x14ac:dyDescent="0.2">
      <c r="A15" s="47"/>
      <c r="B15" s="3" t="s">
        <v>141</v>
      </c>
      <c r="C15" s="3" t="s">
        <v>71</v>
      </c>
      <c r="D15" s="3" t="s">
        <v>65</v>
      </c>
      <c r="E15" s="3" t="s">
        <v>64</v>
      </c>
      <c r="F15" s="3" t="s">
        <v>147</v>
      </c>
      <c r="G15" s="3" t="s">
        <v>68</v>
      </c>
      <c r="H15" s="3" t="s">
        <v>71</v>
      </c>
      <c r="I15" s="3" t="s">
        <v>141</v>
      </c>
      <c r="J15" s="3" t="s">
        <v>54</v>
      </c>
      <c r="K15" s="3" t="s">
        <v>55</v>
      </c>
      <c r="M15" s="11" t="s">
        <v>27</v>
      </c>
      <c r="O15" s="48"/>
    </row>
    <row r="16" spans="1:15" x14ac:dyDescent="0.2">
      <c r="A16" s="47"/>
      <c r="B16" s="3" t="s">
        <v>70</v>
      </c>
      <c r="C16" s="3" t="s">
        <v>73</v>
      </c>
      <c r="D16" s="3" t="s">
        <v>72</v>
      </c>
      <c r="E16" s="3" t="s">
        <v>66</v>
      </c>
      <c r="F16" s="3" t="s">
        <v>29</v>
      </c>
      <c r="G16" s="3" t="s">
        <v>47</v>
      </c>
      <c r="H16" s="3" t="s">
        <v>69</v>
      </c>
      <c r="I16" s="3" t="s">
        <v>65</v>
      </c>
      <c r="J16" s="3" t="s">
        <v>57</v>
      </c>
      <c r="K16" s="3" t="s">
        <v>147</v>
      </c>
      <c r="M16" s="11" t="s">
        <v>31</v>
      </c>
      <c r="O16" s="48"/>
    </row>
    <row r="17" spans="1:15" x14ac:dyDescent="0.2">
      <c r="A17" s="47"/>
      <c r="B17" s="3" t="s">
        <v>69</v>
      </c>
      <c r="C17" s="3" t="s">
        <v>76</v>
      </c>
      <c r="D17" s="3" t="s">
        <v>77</v>
      </c>
      <c r="E17" s="3" t="s">
        <v>67</v>
      </c>
      <c r="F17" s="3" t="s">
        <v>27</v>
      </c>
      <c r="G17" s="3" t="s">
        <v>63</v>
      </c>
      <c r="H17" s="3" t="s">
        <v>72</v>
      </c>
      <c r="I17" s="3" t="s">
        <v>74</v>
      </c>
      <c r="J17" s="3" t="s">
        <v>73</v>
      </c>
      <c r="K17" s="3" t="s">
        <v>153</v>
      </c>
      <c r="M17" s="11" t="s">
        <v>45</v>
      </c>
      <c r="O17" s="48"/>
    </row>
    <row r="18" spans="1:15" x14ac:dyDescent="0.2">
      <c r="A18" s="47"/>
      <c r="B18" s="3" t="s">
        <v>75</v>
      </c>
      <c r="C18" s="3" t="s">
        <v>78</v>
      </c>
      <c r="D18" s="3" t="s">
        <v>142</v>
      </c>
      <c r="E18" s="3" t="s">
        <v>74</v>
      </c>
      <c r="F18" s="3" t="s">
        <v>148</v>
      </c>
      <c r="G18" s="3" t="s">
        <v>65</v>
      </c>
      <c r="K18" s="3" t="s">
        <v>154</v>
      </c>
      <c r="M18" s="11" t="s">
        <v>68</v>
      </c>
      <c r="O18" s="48"/>
    </row>
    <row r="19" spans="1:15" x14ac:dyDescent="0.2">
      <c r="A19" s="47"/>
      <c r="B19" s="3" t="s">
        <v>137</v>
      </c>
      <c r="C19" s="3" t="s">
        <v>140</v>
      </c>
      <c r="D19" s="3" t="s">
        <v>143</v>
      </c>
      <c r="E19" s="3" t="s">
        <v>145</v>
      </c>
      <c r="F19" s="3" t="s">
        <v>45</v>
      </c>
      <c r="G19" s="3" t="s">
        <v>66</v>
      </c>
      <c r="K19" s="3" t="s">
        <v>155</v>
      </c>
      <c r="M19" s="11"/>
      <c r="O19" s="48"/>
    </row>
    <row r="20" spans="1:15" x14ac:dyDescent="0.2">
      <c r="A20" s="47"/>
      <c r="B20" s="3" t="s">
        <v>138</v>
      </c>
      <c r="C20" s="3" t="s">
        <v>139</v>
      </c>
      <c r="D20" s="3" t="s">
        <v>144</v>
      </c>
      <c r="E20" s="3" t="s">
        <v>146</v>
      </c>
      <c r="F20" s="3" t="s">
        <v>46</v>
      </c>
      <c r="G20" s="3" t="s">
        <v>70</v>
      </c>
      <c r="K20" s="3" t="s">
        <v>46</v>
      </c>
      <c r="O20" s="48"/>
    </row>
    <row r="21" spans="1:15" x14ac:dyDescent="0.2">
      <c r="A21" s="47"/>
      <c r="F21" s="3" t="s">
        <v>43</v>
      </c>
      <c r="G21" s="3" t="s">
        <v>72</v>
      </c>
      <c r="K21" s="3" t="s">
        <v>49</v>
      </c>
      <c r="O21" s="48"/>
    </row>
    <row r="22" spans="1:15" x14ac:dyDescent="0.2">
      <c r="A22" s="47"/>
      <c r="F22" s="3" t="s">
        <v>58</v>
      </c>
      <c r="K22" s="3" t="s">
        <v>149</v>
      </c>
      <c r="O22" s="48"/>
    </row>
    <row r="23" spans="1:15" x14ac:dyDescent="0.2">
      <c r="A23" s="47"/>
      <c r="O23" s="48"/>
    </row>
    <row r="24" spans="1:15" x14ac:dyDescent="0.2">
      <c r="A24" s="47"/>
      <c r="O24" s="48"/>
    </row>
    <row r="25" spans="1:15" x14ac:dyDescent="0.2">
      <c r="A25" s="47"/>
      <c r="O25" s="48"/>
    </row>
    <row r="26" spans="1:15" x14ac:dyDescent="0.2">
      <c r="A26" s="47"/>
      <c r="O26" s="48"/>
    </row>
    <row r="27" spans="1:15" x14ac:dyDescent="0.2">
      <c r="A27" s="47"/>
      <c r="O27" s="48"/>
    </row>
    <row r="28" spans="1:15" x14ac:dyDescent="0.2">
      <c r="A28" s="47"/>
      <c r="O28" s="48"/>
    </row>
    <row r="29" spans="1:15" x14ac:dyDescent="0.2">
      <c r="A29" s="47"/>
      <c r="O29" s="48"/>
    </row>
    <row r="30" spans="1:15" x14ac:dyDescent="0.2">
      <c r="A30" s="47"/>
      <c r="O30" s="48"/>
    </row>
    <row r="31" spans="1:15" s="14" customFormat="1" ht="17" thickBot="1" x14ac:dyDescent="0.25">
      <c r="O31" s="53"/>
    </row>
    <row r="32" spans="1:15" ht="17" thickTop="1" x14ac:dyDescent="0.2">
      <c r="A32" s="52" t="s">
        <v>113</v>
      </c>
      <c r="B32" s="3">
        <f>COUNTIF(B10:B31,"&lt;&gt;"&amp;"")</f>
        <v>11</v>
      </c>
      <c r="C32" s="3">
        <f t="shared" ref="C32:J32" si="0">COUNTIF(C10:C31,"&lt;&gt;"&amp;"")</f>
        <v>11</v>
      </c>
      <c r="D32" s="3">
        <f t="shared" si="0"/>
        <v>11</v>
      </c>
      <c r="E32" s="3">
        <f t="shared" si="0"/>
        <v>11</v>
      </c>
      <c r="F32" s="3">
        <f t="shared" si="0"/>
        <v>13</v>
      </c>
      <c r="G32" s="3">
        <f t="shared" si="0"/>
        <v>12</v>
      </c>
      <c r="H32" s="3">
        <f t="shared" si="0"/>
        <v>8</v>
      </c>
      <c r="I32" s="3">
        <f t="shared" si="0"/>
        <v>8</v>
      </c>
      <c r="J32" s="3">
        <f t="shared" si="0"/>
        <v>8</v>
      </c>
      <c r="K32" s="3">
        <f>COUNTIF(K10:K31,"&lt;&gt;"&amp;"")</f>
        <v>13</v>
      </c>
      <c r="L32" s="3">
        <f t="shared" ref="L32:O32" si="1">COUNTIF(L10:L31,"&lt;&gt;"&amp;"")</f>
        <v>5</v>
      </c>
      <c r="M32" s="3">
        <f t="shared" si="1"/>
        <v>9</v>
      </c>
      <c r="N32" s="3">
        <f t="shared" si="1"/>
        <v>0</v>
      </c>
      <c r="O32" s="54">
        <f t="shared" si="1"/>
        <v>0</v>
      </c>
    </row>
    <row r="33" spans="1:15" x14ac:dyDescent="0.2">
      <c r="A33" s="102" t="s">
        <v>104</v>
      </c>
      <c r="B33" s="40">
        <f>_xlfn.IFNA(MATCH(B3,{"Lundi","Mardi","Mercredi","Jeudi","Vendredi","Samedi","Dimanche"},0),)</f>
        <v>1</v>
      </c>
      <c r="C33" s="17">
        <f>_xlfn.IFNA(MATCH(C3,{"Lundi","Mardi","Mercredi","Jeudi","Vendredi","Samedi","Dimanche"},0),)</f>
        <v>2</v>
      </c>
      <c r="D33" s="17">
        <f>_xlfn.IFNA(MATCH(D3,{"Lundi","Mardi","Mercredi","Jeudi","Vendredi","Samedi","Dimanche"},0),)</f>
        <v>3</v>
      </c>
      <c r="E33" s="17">
        <f>_xlfn.IFNA(MATCH(E3,{"Lundi","Mardi","Mercredi","Jeudi","Vendredi","Samedi","Dimanche"},0),)</f>
        <v>4</v>
      </c>
      <c r="F33" s="17">
        <f>_xlfn.IFNA(MATCH(F3,{"Lundi","Mardi","Mercredi","Jeudi","Vendredi","Samedi","Dimanche"},0),)</f>
        <v>1</v>
      </c>
      <c r="G33" s="17">
        <f>_xlfn.IFNA(MATCH(G3,{"Lundi","Mardi","Mercredi","Jeudi","Vendredi","Samedi","Dimanche"},0),)</f>
        <v>1</v>
      </c>
      <c r="H33" s="17">
        <f>_xlfn.IFNA(MATCH(H3,{"Lundi","Mardi","Mercredi","Jeudi","Vendredi","Samedi","Dimanche"},0),)</f>
        <v>2</v>
      </c>
      <c r="I33" s="17">
        <f>_xlfn.IFNA(MATCH(I3,{"Lundi","Mardi","Mercredi","Jeudi","Vendredi","Samedi","Dimanche"},0),)</f>
        <v>3</v>
      </c>
      <c r="J33" s="17">
        <f>_xlfn.IFNA(MATCH(J3,{"Lundi","Mardi","Mercredi","Jeudi","Vendredi","Samedi","Dimanche"},0),)</f>
        <v>4</v>
      </c>
      <c r="K33" s="17">
        <f>_xlfn.IFNA(MATCH(K3,{"Lundi","Mardi","Mercredi","Jeudi","Vendredi","Samedi","Dimanche"},0),)</f>
        <v>1</v>
      </c>
      <c r="L33" s="17">
        <f>_xlfn.IFNA(MATCH(L3,{"Lundi","Mardi","Mercredi","Jeudi","Vendredi","Samedi","Dimanche"},0),)</f>
        <v>1</v>
      </c>
      <c r="M33" s="17">
        <f>_xlfn.IFNA(MATCH(M3,{"Lundi","Mardi","Mercredi","Jeudi","Vendredi","Samedi","Dimanche"},0),)</f>
        <v>5</v>
      </c>
      <c r="N33" s="17">
        <f>_xlfn.IFNA(MATCH(N3,{"Lundi","Mardi","Mercredi","Jeudi","Vendredi","Samedi","Dimanche"},0),)</f>
        <v>0</v>
      </c>
      <c r="O33" s="18">
        <f>_xlfn.IFNA(MATCH(O3,{"Lundi","Mardi","Mercredi","Jeudi","Vendredi","Samedi","Dimanche"},0),)</f>
        <v>0</v>
      </c>
    </row>
    <row r="34" spans="1:15" x14ac:dyDescent="0.2">
      <c r="A34" s="103"/>
      <c r="B34" s="41">
        <f>_xlfn.IFNA(MATCH(B4,{"Lundi","Mardi","Mercredi","Jeudi","Vendredi","Samedi","Dimanche"},0),)</f>
        <v>0</v>
      </c>
      <c r="C34" s="10">
        <f>_xlfn.IFNA(MATCH(C4,{"Lundi","Mardi","Mercredi","Jeudi","Vendredi","Samedi","Dimanche"},0),)</f>
        <v>0</v>
      </c>
      <c r="D34" s="10">
        <f>_xlfn.IFNA(MATCH(D4,{"Lundi","Mardi","Mercredi","Jeudi","Vendredi","Samedi","Dimanche"},0),)</f>
        <v>0</v>
      </c>
      <c r="E34" s="10">
        <f>_xlfn.IFNA(MATCH(E4,{"Lundi","Mardi","Mercredi","Jeudi","Vendredi","Samedi","Dimanche"},0),)</f>
        <v>0</v>
      </c>
      <c r="F34" s="10">
        <f>_xlfn.IFNA(MATCH(F4,{"Lundi","Mardi","Mercredi","Jeudi","Vendredi","Samedi","Dimanche"},0),)</f>
        <v>3</v>
      </c>
      <c r="G34" s="10">
        <f>_xlfn.IFNA(MATCH(G4,{"Lundi","Mardi","Mercredi","Jeudi","Vendredi","Samedi","Dimanche"},0),)</f>
        <v>2</v>
      </c>
      <c r="H34" s="10">
        <f>_xlfn.IFNA(MATCH(H4,{"Lundi","Mardi","Mercredi","Jeudi","Vendredi","Samedi","Dimanche"},0),)</f>
        <v>0</v>
      </c>
      <c r="I34" s="10">
        <f>_xlfn.IFNA(MATCH(I4,{"Lundi","Mardi","Mercredi","Jeudi","Vendredi","Samedi","Dimanche"},0),)</f>
        <v>0</v>
      </c>
      <c r="J34" s="10">
        <f>_xlfn.IFNA(MATCH(J4,{"Lundi","Mardi","Mercredi","Jeudi","Vendredi","Samedi","Dimanche"},0),)</f>
        <v>0</v>
      </c>
      <c r="K34" s="10">
        <f>_xlfn.IFNA(MATCH(K4,{"Lundi","Mardi","Mercredi","Jeudi","Vendredi","Samedi","Dimanche"},0),)</f>
        <v>2</v>
      </c>
      <c r="L34" s="10">
        <f>_xlfn.IFNA(MATCH(L4,{"Lundi","Mardi","Mercredi","Jeudi","Vendredi","Samedi","Dimanche"},0),)</f>
        <v>2</v>
      </c>
      <c r="M34" s="10">
        <f>_xlfn.IFNA(MATCH(M4,{"Lundi","Mardi","Mercredi","Jeudi","Vendredi","Samedi","Dimanche"},0),)</f>
        <v>0</v>
      </c>
      <c r="N34" s="10">
        <f>_xlfn.IFNA(MATCH(N4,{"Lundi","Mardi","Mercredi","Jeudi","Vendredi","Samedi","Dimanche"},0),)</f>
        <v>0</v>
      </c>
      <c r="O34" s="19">
        <f>_xlfn.IFNA(MATCH(O4,{"Lundi","Mardi","Mercredi","Jeudi","Vendredi","Samedi","Dimanche"},0),)</f>
        <v>0</v>
      </c>
    </row>
    <row r="35" spans="1:15" x14ac:dyDescent="0.2">
      <c r="A35" s="103"/>
      <c r="B35" s="41">
        <f>_xlfn.IFNA(MATCH(B5,{"Lundi","Mardi","Mercredi","Jeudi","Vendredi","Samedi","Dimanche"},0),)</f>
        <v>0</v>
      </c>
      <c r="C35" s="10">
        <f>_xlfn.IFNA(MATCH(C5,{"Lundi","Mardi","Mercredi","Jeudi","Vendredi","Samedi","Dimanche"},0),)</f>
        <v>0</v>
      </c>
      <c r="D35" s="10">
        <f>_xlfn.IFNA(MATCH(D5,{"Lundi","Mardi","Mercredi","Jeudi","Vendredi","Samedi","Dimanche"},0),)</f>
        <v>0</v>
      </c>
      <c r="E35" s="10">
        <f>_xlfn.IFNA(MATCH(E5,{"Lundi","Mardi","Mercredi","Jeudi","Vendredi","Samedi","Dimanche"},0),)</f>
        <v>0</v>
      </c>
      <c r="F35" s="10">
        <f>_xlfn.IFNA(MATCH(F5,{"Lundi","Mardi","Mercredi","Jeudi","Vendredi","Samedi","Dimanche"},0),)</f>
        <v>0</v>
      </c>
      <c r="G35" s="10">
        <f>_xlfn.IFNA(MATCH(G5,{"Lundi","Mardi","Mercredi","Jeudi","Vendredi","Samedi","Dimanche"},0),)</f>
        <v>3</v>
      </c>
      <c r="H35" s="10">
        <f>_xlfn.IFNA(MATCH(H5,{"Lundi","Mardi","Mercredi","Jeudi","Vendredi","Samedi","Dimanche"},0),)</f>
        <v>0</v>
      </c>
      <c r="I35" s="10">
        <f>_xlfn.IFNA(MATCH(I5,{"Lundi","Mardi","Mercredi","Jeudi","Vendredi","Samedi","Dimanche"},0),)</f>
        <v>0</v>
      </c>
      <c r="J35" s="10">
        <f>_xlfn.IFNA(MATCH(J5,{"Lundi","Mardi","Mercredi","Jeudi","Vendredi","Samedi","Dimanche"},0),)</f>
        <v>0</v>
      </c>
      <c r="K35" s="10">
        <f>_xlfn.IFNA(MATCH(K5,{"Lundi","Mardi","Mercredi","Jeudi","Vendredi","Samedi","Dimanche"},0),)</f>
        <v>3</v>
      </c>
      <c r="L35" s="10">
        <f>_xlfn.IFNA(MATCH(L5,{"Lundi","Mardi","Mercredi","Jeudi","Vendredi","Samedi","Dimanche"},0),)</f>
        <v>3</v>
      </c>
      <c r="M35" s="10">
        <f>_xlfn.IFNA(MATCH(M5,{"Lundi","Mardi","Mercredi","Jeudi","Vendredi","Samedi","Dimanche"},0),)</f>
        <v>0</v>
      </c>
      <c r="N35" s="10">
        <f>_xlfn.IFNA(MATCH(N5,{"Lundi","Mardi","Mercredi","Jeudi","Vendredi","Samedi","Dimanche"},0),)</f>
        <v>0</v>
      </c>
      <c r="O35" s="19">
        <f>_xlfn.IFNA(MATCH(O5,{"Lundi","Mardi","Mercredi","Jeudi","Vendredi","Samedi","Dimanche"},0),)</f>
        <v>0</v>
      </c>
    </row>
    <row r="36" spans="1:15" x14ac:dyDescent="0.2">
      <c r="A36" s="103"/>
      <c r="B36" s="41">
        <f>_xlfn.IFNA(MATCH(B6,{"Lundi","Mardi","Mercredi","Jeudi","Vendredi","Samedi","Dimanche"},0),)</f>
        <v>0</v>
      </c>
      <c r="C36" s="10">
        <f>_xlfn.IFNA(MATCH(C6,{"Lundi","Mardi","Mercredi","Jeudi","Vendredi","Samedi","Dimanche"},0),)</f>
        <v>0</v>
      </c>
      <c r="D36" s="10">
        <f>_xlfn.IFNA(MATCH(D6,{"Lundi","Mardi","Mercredi","Jeudi","Vendredi","Samedi","Dimanche"},0),)</f>
        <v>0</v>
      </c>
      <c r="E36" s="10">
        <f>_xlfn.IFNA(MATCH(E6,{"Lundi","Mardi","Mercredi","Jeudi","Vendredi","Samedi","Dimanche"},0),)</f>
        <v>0</v>
      </c>
      <c r="F36" s="10">
        <f>_xlfn.IFNA(MATCH(F6,{"Lundi","Mardi","Mercredi","Jeudi","Vendredi","Samedi","Dimanche"},0),)</f>
        <v>0</v>
      </c>
      <c r="G36" s="10">
        <f>_xlfn.IFNA(MATCH(G6,{"Lundi","Mardi","Mercredi","Jeudi","Vendredi","Samedi","Dimanche"},0),)</f>
        <v>4</v>
      </c>
      <c r="H36" s="10">
        <f>_xlfn.IFNA(MATCH(H6,{"Lundi","Mardi","Mercredi","Jeudi","Vendredi","Samedi","Dimanche"},0),)</f>
        <v>0</v>
      </c>
      <c r="I36" s="10">
        <f>_xlfn.IFNA(MATCH(I6,{"Lundi","Mardi","Mercredi","Jeudi","Vendredi","Samedi","Dimanche"},0),)</f>
        <v>0</v>
      </c>
      <c r="J36" s="10">
        <f>_xlfn.IFNA(MATCH(J6,{"Lundi","Mardi","Mercredi","Jeudi","Vendredi","Samedi","Dimanche"},0),)</f>
        <v>0</v>
      </c>
      <c r="K36" s="10">
        <f>_xlfn.IFNA(MATCH(K6,{"Lundi","Mardi","Mercredi","Jeudi","Vendredi","Samedi","Dimanche"},0),)</f>
        <v>4</v>
      </c>
      <c r="L36" s="10">
        <f>_xlfn.IFNA(MATCH(L6,{"Lundi","Mardi","Mercredi","Jeudi","Vendredi","Samedi","Dimanche"},0),)</f>
        <v>4</v>
      </c>
      <c r="M36" s="10">
        <f>_xlfn.IFNA(MATCH(M6,{"Lundi","Mardi","Mercredi","Jeudi","Vendredi","Samedi","Dimanche"},0),)</f>
        <v>0</v>
      </c>
      <c r="N36" s="10">
        <f>_xlfn.IFNA(MATCH(N6,{"Lundi","Mardi","Mercredi","Jeudi","Vendredi","Samedi","Dimanche"},0),)</f>
        <v>0</v>
      </c>
      <c r="O36" s="19">
        <f>_xlfn.IFNA(MATCH(O6,{"Lundi","Mardi","Mercredi","Jeudi","Vendredi","Samedi","Dimanche"},0),)</f>
        <v>0</v>
      </c>
    </row>
    <row r="37" spans="1:15" x14ac:dyDescent="0.2">
      <c r="A37" s="104"/>
      <c r="B37" s="42">
        <f>_xlfn.IFNA(MATCH(B7,{"Lundi","Mardi","Mercredi","Jeudi","Vendredi","Samedi","Dimanche"},0),)</f>
        <v>0</v>
      </c>
      <c r="C37" s="20">
        <f>_xlfn.IFNA(MATCH(C7,{"Lundi","Mardi","Mercredi","Jeudi","Vendredi","Samedi","Dimanche"},0),)</f>
        <v>0</v>
      </c>
      <c r="D37" s="20">
        <f>_xlfn.IFNA(MATCH(D7,{"Lundi","Mardi","Mercredi","Jeudi","Vendredi","Samedi","Dimanche"},0),)</f>
        <v>0</v>
      </c>
      <c r="E37" s="20">
        <f>_xlfn.IFNA(MATCH(E7,{"Lundi","Mardi","Mercredi","Jeudi","Vendredi","Samedi","Dimanche"},0),)</f>
        <v>0</v>
      </c>
      <c r="F37" s="20">
        <f>_xlfn.IFNA(MATCH(F7,{"Lundi","Mardi","Mercredi","Jeudi","Vendredi","Samedi","Dimanche"},0),)</f>
        <v>0</v>
      </c>
      <c r="G37" s="20">
        <f>_xlfn.IFNA(MATCH(G7,{"Lundi","Mardi","Mercredi","Jeudi","Vendredi","Samedi","Dimanche"},0),)</f>
        <v>5</v>
      </c>
      <c r="H37" s="20">
        <f>_xlfn.IFNA(MATCH(H7,{"Lundi","Mardi","Mercredi","Jeudi","Vendredi","Samedi","Dimanche"},0),)</f>
        <v>0</v>
      </c>
      <c r="I37" s="20">
        <f>_xlfn.IFNA(MATCH(I7,{"Lundi","Mardi","Mercredi","Jeudi","Vendredi","Samedi","Dimanche"},0),)</f>
        <v>0</v>
      </c>
      <c r="J37" s="20">
        <f>_xlfn.IFNA(MATCH(J7,{"Lundi","Mardi","Mercredi","Jeudi","Vendredi","Samedi","Dimanche"},0),)</f>
        <v>0</v>
      </c>
      <c r="K37" s="20">
        <f>_xlfn.IFNA(MATCH(K7,{"Lundi","Mardi","Mercredi","Jeudi","Vendredi","Samedi","Dimanche"},0),)</f>
        <v>5</v>
      </c>
      <c r="L37" s="20">
        <f>_xlfn.IFNA(MATCH(L7,{"Lundi","Mardi","Mercredi","Jeudi","Vendredi","Samedi","Dimanche"},0),)</f>
        <v>5</v>
      </c>
      <c r="M37" s="20">
        <f>_xlfn.IFNA(MATCH(M7,{"Lundi","Mardi","Mercredi","Jeudi","Vendredi","Samedi","Dimanche"},0),)</f>
        <v>0</v>
      </c>
      <c r="N37" s="20">
        <f>_xlfn.IFNA(MATCH(N7,{"Lundi","Mardi","Mercredi","Jeudi","Vendredi","Samedi","Dimanche"},0),)</f>
        <v>0</v>
      </c>
      <c r="O37" s="21">
        <f>_xlfn.IFNA(MATCH(O7,{"Lundi","Mardi","Mercredi","Jeudi","Vendredi","Samedi","Dimanche"},0),)</f>
        <v>0</v>
      </c>
    </row>
    <row r="41" spans="1:15" x14ac:dyDescent="0.2">
      <c r="D41" s="26"/>
    </row>
    <row r="42" spans="1:15" ht="24" customHeight="1" x14ac:dyDescent="0.2">
      <c r="D42" s="26"/>
      <c r="G42" s="10"/>
    </row>
    <row r="43" spans="1:15" ht="28" customHeight="1" x14ac:dyDescent="0.2">
      <c r="D43" s="27"/>
    </row>
    <row r="44" spans="1:15" ht="26" customHeight="1" x14ac:dyDescent="0.2">
      <c r="D44" s="10"/>
    </row>
    <row r="45" spans="1:15" x14ac:dyDescent="0.2">
      <c r="D45" s="10"/>
    </row>
    <row r="46" spans="1:15" ht="49" customHeight="1" x14ac:dyDescent="0.2"/>
  </sheetData>
  <mergeCells count="2">
    <mergeCell ref="A3:A7"/>
    <mergeCell ref="A33:A37"/>
  </mergeCells>
  <pageMargins left="0.7" right="0.7" top="0.75" bottom="0.75" header="0.3" footer="0.3"/>
  <pageSetup paperSize="9" orientation="portrait" horizontalDpi="0" verticalDpi="0"/>
  <headerFooter>
    <oddFooter>&amp;C_x000D_&amp;1#&amp;"Calibri"&amp;10&amp;K000000 AXA IM - RESTRICTED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E72679-004A-9E41-B9DD-36BFE0C0E0AF}">
  <sheetPr codeName="Sheet3">
    <tabColor theme="5" tint="0.59999389629810485"/>
  </sheetPr>
  <dimension ref="B1:L50"/>
  <sheetViews>
    <sheetView workbookViewId="0">
      <selection activeCell="H23" sqref="H23"/>
    </sheetView>
  </sheetViews>
  <sheetFormatPr baseColWidth="10" defaultColWidth="10.83203125" defaultRowHeight="16" outlineLevelCol="1" x14ac:dyDescent="0.2"/>
  <cols>
    <col min="1" max="1" width="4.1640625" customWidth="1"/>
    <col min="3" max="4" width="20.5" customWidth="1"/>
    <col min="5" max="5" width="5.6640625" customWidth="1"/>
    <col min="6" max="6" width="5.6640625" hidden="1" customWidth="1" outlineLevel="1"/>
    <col min="7" max="7" width="31.83203125" style="3" bestFit="1" customWidth="1" collapsed="1"/>
    <col min="8" max="9" width="20.5" style="3" customWidth="1"/>
    <col min="10" max="10" width="16.1640625" style="3" customWidth="1"/>
    <col min="11" max="12" width="20.5" customWidth="1"/>
  </cols>
  <sheetData>
    <row r="1" spans="2:12" x14ac:dyDescent="0.2">
      <c r="B1" s="106" t="s">
        <v>164</v>
      </c>
      <c r="C1" s="106"/>
    </row>
    <row r="2" spans="2:12" x14ac:dyDescent="0.2">
      <c r="B2" s="52" t="s">
        <v>6</v>
      </c>
      <c r="C2" s="30">
        <v>45688</v>
      </c>
      <c r="D2" s="3"/>
    </row>
    <row r="3" spans="2:12" x14ac:dyDescent="0.2">
      <c r="B3" s="52" t="s">
        <v>7</v>
      </c>
      <c r="C3" s="30">
        <v>46053</v>
      </c>
      <c r="D3" s="3"/>
      <c r="G3" s="3" t="s">
        <v>102</v>
      </c>
      <c r="H3" s="3">
        <f>COUNT(H7:H100)</f>
        <v>9</v>
      </c>
      <c r="K3" s="39" t="s">
        <v>102</v>
      </c>
      <c r="L3" s="39">
        <f>COUNT(K7:K100)</f>
        <v>3</v>
      </c>
    </row>
    <row r="4" spans="2:12" x14ac:dyDescent="0.2">
      <c r="B4" s="3"/>
      <c r="C4" s="3"/>
      <c r="D4" s="3"/>
    </row>
    <row r="5" spans="2:12" x14ac:dyDescent="0.2">
      <c r="B5" s="3"/>
      <c r="C5" s="106" t="s">
        <v>18</v>
      </c>
      <c r="D5" s="106"/>
      <c r="E5" s="3"/>
      <c r="F5" s="3"/>
      <c r="G5" s="106" t="s">
        <v>131</v>
      </c>
      <c r="H5" s="106"/>
      <c r="I5" s="106"/>
      <c r="K5" s="105" t="s">
        <v>94</v>
      </c>
      <c r="L5" s="105"/>
    </row>
    <row r="6" spans="2:12" x14ac:dyDescent="0.2">
      <c r="B6" s="3"/>
      <c r="C6" s="85" t="s">
        <v>17</v>
      </c>
      <c r="D6" s="85" t="s">
        <v>16</v>
      </c>
      <c r="F6" t="s">
        <v>133</v>
      </c>
      <c r="G6" s="85" t="s">
        <v>80</v>
      </c>
      <c r="H6" s="85" t="s">
        <v>8</v>
      </c>
      <c r="I6" s="85" t="s">
        <v>92</v>
      </c>
      <c r="J6" s="31"/>
      <c r="K6" s="86" t="s">
        <v>8</v>
      </c>
      <c r="L6" s="86" t="s">
        <v>101</v>
      </c>
    </row>
    <row r="7" spans="2:12" x14ac:dyDescent="0.2">
      <c r="B7" s="52" t="s">
        <v>6</v>
      </c>
      <c r="C7" s="30">
        <v>46013</v>
      </c>
      <c r="D7" s="30">
        <v>45866</v>
      </c>
      <c r="F7" t="str">
        <f>H7&amp;"_"&amp;G7</f>
        <v>45867_7ème chambre - CPC</v>
      </c>
      <c r="G7" s="84" t="s">
        <v>23</v>
      </c>
      <c r="H7" s="30">
        <v>45867</v>
      </c>
      <c r="I7" s="83" t="s">
        <v>166</v>
      </c>
      <c r="K7" s="30">
        <v>45779</v>
      </c>
      <c r="L7" s="83" t="s">
        <v>165</v>
      </c>
    </row>
    <row r="8" spans="2:12" x14ac:dyDescent="0.2">
      <c r="B8" s="52" t="s">
        <v>7</v>
      </c>
      <c r="C8" s="30">
        <v>46025</v>
      </c>
      <c r="D8" s="30">
        <v>45905</v>
      </c>
      <c r="F8" t="str">
        <f t="shared" ref="F8:F23" si="0">H8&amp;"_"&amp;G8</f>
        <v>45874_7ème chambre - CPC</v>
      </c>
      <c r="G8" s="84" t="s">
        <v>23</v>
      </c>
      <c r="H8" s="30">
        <v>45874</v>
      </c>
      <c r="I8" s="83" t="s">
        <v>166</v>
      </c>
      <c r="K8" s="30">
        <v>45807</v>
      </c>
      <c r="L8" s="83" t="s">
        <v>165</v>
      </c>
    </row>
    <row r="9" spans="2:12" x14ac:dyDescent="0.2">
      <c r="B9" s="3"/>
      <c r="C9" s="3"/>
      <c r="D9" s="3"/>
      <c r="E9" s="3"/>
      <c r="F9" t="str">
        <f t="shared" si="0"/>
        <v>45895_7ème chambre - CPC</v>
      </c>
      <c r="G9" s="88" t="s">
        <v>23</v>
      </c>
      <c r="H9" s="30">
        <v>45895</v>
      </c>
      <c r="I9" s="83" t="s">
        <v>166</v>
      </c>
      <c r="K9" s="30">
        <v>45971</v>
      </c>
      <c r="L9" s="83" t="s">
        <v>165</v>
      </c>
    </row>
    <row r="10" spans="2:12" x14ac:dyDescent="0.2">
      <c r="B10" s="3"/>
      <c r="E10" s="3"/>
      <c r="F10" t="str">
        <f t="shared" si="0"/>
        <v>45902_7ème chambre - CPC</v>
      </c>
      <c r="G10" s="88" t="s">
        <v>23</v>
      </c>
      <c r="H10" s="30">
        <v>45902</v>
      </c>
      <c r="I10" s="83" t="s">
        <v>166</v>
      </c>
      <c r="K10" s="87"/>
      <c r="L10" s="83"/>
    </row>
    <row r="11" spans="2:12" x14ac:dyDescent="0.2">
      <c r="B11" s="3"/>
      <c r="E11" s="10"/>
      <c r="F11" t="str">
        <f t="shared" si="0"/>
        <v>45868_5ème chambre - REFERES</v>
      </c>
      <c r="G11" s="32" t="s">
        <v>160</v>
      </c>
      <c r="H11" s="30">
        <v>45868</v>
      </c>
      <c r="I11" s="83" t="s">
        <v>167</v>
      </c>
      <c r="K11" s="87"/>
      <c r="L11" s="83"/>
    </row>
    <row r="12" spans="2:12" x14ac:dyDescent="0.2">
      <c r="F12" t="str">
        <f t="shared" si="0"/>
        <v>45875_5ème chambre - REFERES</v>
      </c>
      <c r="G12" s="32" t="s">
        <v>160</v>
      </c>
      <c r="H12" s="30">
        <v>45875</v>
      </c>
      <c r="I12" s="83" t="s">
        <v>167</v>
      </c>
      <c r="K12" s="87"/>
      <c r="L12" s="83"/>
    </row>
    <row r="13" spans="2:12" x14ac:dyDescent="0.2">
      <c r="F13" t="str">
        <f t="shared" si="0"/>
        <v>45903_5ème chambre - REFERES</v>
      </c>
      <c r="G13" s="32" t="s">
        <v>160</v>
      </c>
      <c r="H13" s="30">
        <v>45903</v>
      </c>
      <c r="I13" s="83" t="s">
        <v>167</v>
      </c>
      <c r="J13" s="55"/>
      <c r="K13" s="87"/>
      <c r="L13" s="83"/>
    </row>
    <row r="14" spans="2:12" x14ac:dyDescent="0.2">
      <c r="F14" t="str">
        <f t="shared" si="0"/>
        <v>46014_7ème chambre - CPC</v>
      </c>
      <c r="G14" s="32" t="s">
        <v>23</v>
      </c>
      <c r="H14" s="30">
        <v>46014</v>
      </c>
      <c r="I14" s="83" t="s">
        <v>166</v>
      </c>
      <c r="K14" s="87"/>
      <c r="L14" s="83"/>
    </row>
    <row r="15" spans="2:12" x14ac:dyDescent="0.2">
      <c r="F15" t="str">
        <f t="shared" si="0"/>
        <v>46013_5ème chambre - REFERES</v>
      </c>
      <c r="G15" s="32" t="s">
        <v>160</v>
      </c>
      <c r="H15" s="30">
        <v>46013</v>
      </c>
      <c r="I15" s="83" t="s">
        <v>167</v>
      </c>
      <c r="K15" s="87"/>
      <c r="L15" s="83"/>
    </row>
    <row r="16" spans="2:12" x14ac:dyDescent="0.2">
      <c r="F16" t="str">
        <f t="shared" si="0"/>
        <v>_</v>
      </c>
      <c r="G16" s="56"/>
      <c r="K16" s="87"/>
      <c r="L16" s="83"/>
    </row>
    <row r="17" spans="6:12" x14ac:dyDescent="0.2">
      <c r="F17" t="str">
        <f t="shared" si="0"/>
        <v>_</v>
      </c>
      <c r="G17" s="56"/>
      <c r="K17" s="87"/>
      <c r="L17" s="83"/>
    </row>
    <row r="18" spans="6:12" x14ac:dyDescent="0.2">
      <c r="F18" t="str">
        <f t="shared" si="0"/>
        <v>_</v>
      </c>
      <c r="G18" s="56"/>
      <c r="K18" s="87"/>
      <c r="L18" s="83"/>
    </row>
    <row r="19" spans="6:12" x14ac:dyDescent="0.2">
      <c r="F19" t="str">
        <f t="shared" si="0"/>
        <v>_</v>
      </c>
      <c r="G19" s="56"/>
      <c r="K19" s="87"/>
      <c r="L19" s="83"/>
    </row>
    <row r="20" spans="6:12" x14ac:dyDescent="0.2">
      <c r="F20" t="str">
        <f t="shared" si="0"/>
        <v>_</v>
      </c>
      <c r="G20" s="56"/>
      <c r="K20" s="87"/>
      <c r="L20" s="83"/>
    </row>
    <row r="21" spans="6:12" x14ac:dyDescent="0.2">
      <c r="F21" t="str">
        <f t="shared" si="0"/>
        <v>_</v>
      </c>
      <c r="G21" s="56"/>
      <c r="K21" s="87"/>
      <c r="L21" s="83"/>
    </row>
    <row r="22" spans="6:12" x14ac:dyDescent="0.2">
      <c r="F22" t="str">
        <f t="shared" si="0"/>
        <v>_</v>
      </c>
      <c r="G22" s="56"/>
      <c r="K22" s="87"/>
      <c r="L22" s="83"/>
    </row>
    <row r="23" spans="6:12" x14ac:dyDescent="0.2">
      <c r="F23" t="str">
        <f t="shared" si="0"/>
        <v>_</v>
      </c>
      <c r="G23" s="56"/>
      <c r="K23" s="87"/>
      <c r="L23" s="83"/>
    </row>
    <row r="24" spans="6:12" x14ac:dyDescent="0.2">
      <c r="G24" s="56"/>
      <c r="K24" s="87"/>
      <c r="L24" s="83"/>
    </row>
    <row r="25" spans="6:12" x14ac:dyDescent="0.2">
      <c r="G25" s="56"/>
      <c r="K25" s="87"/>
      <c r="L25" s="83"/>
    </row>
    <row r="26" spans="6:12" x14ac:dyDescent="0.2">
      <c r="G26" s="56"/>
      <c r="K26" s="87"/>
      <c r="L26" s="83"/>
    </row>
    <row r="27" spans="6:12" x14ac:dyDescent="0.2">
      <c r="G27" s="56"/>
    </row>
    <row r="28" spans="6:12" x14ac:dyDescent="0.2">
      <c r="G28" s="56"/>
    </row>
    <row r="29" spans="6:12" x14ac:dyDescent="0.2">
      <c r="G29" s="56"/>
    </row>
    <row r="30" spans="6:12" x14ac:dyDescent="0.2">
      <c r="G30" s="56"/>
    </row>
    <row r="31" spans="6:12" x14ac:dyDescent="0.2">
      <c r="G31" s="56"/>
    </row>
    <row r="32" spans="6:12" x14ac:dyDescent="0.2">
      <c r="G32" s="56"/>
    </row>
    <row r="33" spans="7:7" x14ac:dyDescent="0.2">
      <c r="G33" s="56"/>
    </row>
    <row r="34" spans="7:7" x14ac:dyDescent="0.2">
      <c r="G34" s="56"/>
    </row>
    <row r="35" spans="7:7" x14ac:dyDescent="0.2">
      <c r="G35" s="56"/>
    </row>
    <row r="36" spans="7:7" x14ac:dyDescent="0.2">
      <c r="G36" s="56"/>
    </row>
    <row r="37" spans="7:7" x14ac:dyDescent="0.2">
      <c r="G37" s="56"/>
    </row>
    <row r="38" spans="7:7" x14ac:dyDescent="0.2">
      <c r="G38" s="56"/>
    </row>
    <row r="39" spans="7:7" x14ac:dyDescent="0.2">
      <c r="G39" s="56"/>
    </row>
    <row r="40" spans="7:7" x14ac:dyDescent="0.2">
      <c r="G40" s="56"/>
    </row>
    <row r="41" spans="7:7" x14ac:dyDescent="0.2">
      <c r="G41" s="56"/>
    </row>
    <row r="42" spans="7:7" x14ac:dyDescent="0.2">
      <c r="G42" s="56"/>
    </row>
    <row r="43" spans="7:7" x14ac:dyDescent="0.2">
      <c r="G43" s="56"/>
    </row>
    <row r="44" spans="7:7" x14ac:dyDescent="0.2">
      <c r="G44" s="56"/>
    </row>
    <row r="45" spans="7:7" x14ac:dyDescent="0.2">
      <c r="G45" s="56"/>
    </row>
    <row r="46" spans="7:7" x14ac:dyDescent="0.2">
      <c r="G46" s="56"/>
    </row>
    <row r="47" spans="7:7" x14ac:dyDescent="0.2">
      <c r="G47" s="56"/>
    </row>
    <row r="48" spans="7:7" x14ac:dyDescent="0.2">
      <c r="G48" s="56"/>
    </row>
    <row r="49" spans="7:7" x14ac:dyDescent="0.2">
      <c r="G49" s="56"/>
    </row>
    <row r="50" spans="7:7" x14ac:dyDescent="0.2">
      <c r="G50" s="56"/>
    </row>
  </sheetData>
  <mergeCells count="4">
    <mergeCell ref="K5:L5"/>
    <mergeCell ref="C5:D5"/>
    <mergeCell ref="G5:I5"/>
    <mergeCell ref="B1:C1"/>
  </mergeCells>
  <phoneticPr fontId="9" type="noConversion"/>
  <pageMargins left="0.7" right="0.7" top="0.75" bottom="0.75" header="0.3" footer="0.3"/>
  <pageSetup paperSize="9"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94282AF-9994-D141-BC9D-9DB427EBE813}">
          <x14:formula1>
            <xm:f>'Data chambre'!$B$1:$O$1</xm:f>
          </x14:formula1>
          <xm:sqref>J13 G7:G50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Dynamic calendar</vt:lpstr>
      <vt:lpstr>MEP Calendrier</vt:lpstr>
      <vt:lpstr>Data chambre</vt:lpstr>
      <vt:lpstr>Dates</vt:lpstr>
      <vt:lpstr>day_chambers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</dc:creator>
  <cp:lastModifiedBy>DA SILVA Arnaud</cp:lastModifiedBy>
  <cp:lastPrinted>2024-11-22T18:00:05Z</cp:lastPrinted>
  <dcterms:created xsi:type="dcterms:W3CDTF">2024-05-29T06:10:27Z</dcterms:created>
  <dcterms:modified xsi:type="dcterms:W3CDTF">2026-04-08T00:12:37Z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3b89073-f537-4fe2-a4ef-71907f8c184f_Enabled">
    <vt:lpwstr>true</vt:lpwstr>
  </property>
  <property fmtid="{D5CDD505-2E9C-101B-9397-08002B2CF9AE}" pid="3" name="MSIP_Label_f3b89073-f537-4fe2-a4ef-71907f8c184f_SetDate">
    <vt:lpwstr>2024-10-25T10:05:11Z</vt:lpwstr>
  </property>
  <property fmtid="{D5CDD505-2E9C-101B-9397-08002B2CF9AE}" pid="4" name="MSIP_Label_f3b89073-f537-4fe2-a4ef-71907f8c184f_Method">
    <vt:lpwstr>Standard</vt:lpwstr>
  </property>
  <property fmtid="{D5CDD505-2E9C-101B-9397-08002B2CF9AE}" pid="5" name="MSIP_Label_f3b89073-f537-4fe2-a4ef-71907f8c184f_Name">
    <vt:lpwstr>INTERNAL</vt:lpwstr>
  </property>
  <property fmtid="{D5CDD505-2E9C-101B-9397-08002B2CF9AE}" pid="6" name="MSIP_Label_f3b89073-f537-4fe2-a4ef-71907f8c184f_SiteId">
    <vt:lpwstr>85f3dce2-9de5-43ba-8d73-76ef63954d34</vt:lpwstr>
  </property>
  <property fmtid="{D5CDD505-2E9C-101B-9397-08002B2CF9AE}" pid="7" name="MSIP_Label_f3b89073-f537-4fe2-a4ef-71907f8c184f_ActionId">
    <vt:lpwstr>332fee3f-eed4-46fd-bbcf-ced5c2b6fc96</vt:lpwstr>
  </property>
  <property fmtid="{D5CDD505-2E9C-101B-9397-08002B2CF9AE}" pid="8" name="MSIP_Label_f3b89073-f537-4fe2-a4ef-71907f8c184f_ContentBits">
    <vt:lpwstr>2</vt:lpwstr>
  </property>
</Properties>
</file>